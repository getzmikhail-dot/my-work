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diplom\employment-local-app\"/>
    </mc:Choice>
  </mc:AlternateContent>
  <xr:revisionPtr revIDLastSave="0" documentId="8_{087E96BF-FB7D-4526-BD6B-F0082C2C5077}" xr6:coauthVersionLast="47" xr6:coauthVersionMax="47" xr10:uidLastSave="{00000000-0000-0000-0000-000000000000}"/>
  <bookViews>
    <workbookView xWindow="3510" yWindow="1770" windowWidth="24510" windowHeight="19830" xr2:uid="{00000000-000D-0000-FFFF-FFFF00000000}"/>
  </bookViews>
  <sheets>
    <sheet name="выпуск 2025-ОЧКА" sheetId="1" r:id="rId1"/>
    <sheet name="ОЧКА сведения" sheetId="4" r:id="rId2"/>
    <sheet name="Очно-заочная" sheetId="3" r:id="rId3"/>
    <sheet name="Заочная" sheetId="2" r:id="rId4"/>
  </sheets>
  <definedNames>
    <definedName name="_xlnm._FilterDatabase" localSheetId="0" hidden="1">'выпуск 2025-ОЧКА'!$A$1:$M$558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4" l="1"/>
  <c r="M67" i="4"/>
  <c r="M68" i="4"/>
  <c r="L64" i="4"/>
  <c r="M64" i="4" s="1"/>
  <c r="L65" i="4"/>
  <c r="M65" i="4" s="1"/>
  <c r="L66" i="4"/>
  <c r="M66" i="4" s="1"/>
  <c r="L67" i="4"/>
  <c r="L68" i="4"/>
  <c r="L63" i="4"/>
  <c r="M63" i="4" s="1"/>
  <c r="L61" i="4"/>
  <c r="M52" i="4"/>
  <c r="M53" i="4"/>
  <c r="M55" i="4"/>
  <c r="M56" i="4"/>
  <c r="M57" i="4"/>
  <c r="M50" i="4"/>
  <c r="L51" i="4"/>
  <c r="M51" i="4" s="1"/>
  <c r="L52" i="4"/>
  <c r="L53" i="4"/>
  <c r="L54" i="4"/>
  <c r="M54" i="4" s="1"/>
  <c r="L55" i="4"/>
  <c r="L56" i="4"/>
  <c r="L57" i="4"/>
  <c r="L50" i="4"/>
  <c r="L46" i="4"/>
  <c r="L43" i="4"/>
  <c r="M43" i="4" s="1"/>
  <c r="L96" i="4"/>
  <c r="M96" i="4" s="1"/>
  <c r="M33" i="4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33" i="4"/>
  <c r="L26" i="4"/>
  <c r="L27" i="4"/>
  <c r="M27" i="4" s="1"/>
  <c r="L28" i="4"/>
  <c r="M28" i="4" s="1"/>
  <c r="L29" i="4"/>
  <c r="M29" i="4" s="1"/>
  <c r="L30" i="4"/>
  <c r="M30" i="4" s="1"/>
  <c r="L25" i="4"/>
  <c r="M25" i="4" s="1"/>
  <c r="L19" i="4"/>
  <c r="M19" i="4" s="1"/>
  <c r="L20" i="4"/>
  <c r="L21" i="4"/>
  <c r="M21" i="4" s="1"/>
  <c r="L22" i="4"/>
  <c r="M22" i="4" s="1"/>
  <c r="L18" i="4"/>
  <c r="M18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5" i="4"/>
  <c r="M5" i="4" s="1"/>
  <c r="L6" i="4"/>
  <c r="M6" i="4" s="1"/>
  <c r="L7" i="4"/>
  <c r="M7" i="4" s="1"/>
  <c r="L8" i="4"/>
  <c r="M8" i="4" s="1"/>
  <c r="L9" i="4"/>
  <c r="M9" i="4" s="1"/>
  <c r="L4" i="4"/>
  <c r="M4" i="4" s="1"/>
  <c r="L3" i="4"/>
  <c r="M3" i="4" s="1"/>
  <c r="L58" i="4" l="1"/>
  <c r="L69" i="4"/>
  <c r="L31" i="4"/>
  <c r="L23" i="4"/>
  <c r="L16" i="4"/>
  <c r="M20" i="4"/>
  <c r="M26" i="4"/>
  <c r="L40" i="4"/>
  <c r="I16" i="4"/>
  <c r="I69" i="4"/>
  <c r="D58" i="4"/>
  <c r="D69" i="4"/>
  <c r="E31" i="4"/>
  <c r="J69" i="4"/>
  <c r="J61" i="4"/>
  <c r="J58" i="4"/>
  <c r="J47" i="4"/>
  <c r="J44" i="4"/>
  <c r="J40" i="4"/>
  <c r="J31" i="4"/>
  <c r="J23" i="4"/>
  <c r="J16" i="4"/>
  <c r="I61" i="4"/>
  <c r="I58" i="4"/>
  <c r="I47" i="4"/>
  <c r="I44" i="4"/>
  <c r="I40" i="4"/>
  <c r="I31" i="4"/>
  <c r="I23" i="4"/>
  <c r="I88" i="4" l="1"/>
  <c r="I90" i="4"/>
  <c r="J78" i="4"/>
  <c r="J80" i="4"/>
  <c r="I87" i="4"/>
  <c r="I79" i="4"/>
  <c r="J79" i="4"/>
  <c r="I89" i="4"/>
  <c r="I78" i="4"/>
  <c r="I91" i="4"/>
  <c r="I80" i="4"/>
  <c r="I81" i="4" l="1"/>
  <c r="H44" i="4"/>
  <c r="G44" i="4"/>
  <c r="F44" i="4"/>
  <c r="E44" i="4"/>
  <c r="D44" i="4"/>
  <c r="C44" i="4"/>
  <c r="K43" i="4"/>
  <c r="H61" i="4"/>
  <c r="G61" i="4"/>
  <c r="F61" i="4"/>
  <c r="E61" i="4"/>
  <c r="D61" i="4"/>
  <c r="C61" i="4"/>
  <c r="M61" i="4" s="1"/>
  <c r="D72" i="4"/>
  <c r="E72" i="4"/>
  <c r="F72" i="4"/>
  <c r="G72" i="4"/>
  <c r="H72" i="4"/>
  <c r="C72" i="4"/>
  <c r="M72" i="4" s="1"/>
  <c r="E69" i="4"/>
  <c r="E89" i="4" s="1"/>
  <c r="F69" i="4"/>
  <c r="G69" i="4"/>
  <c r="H69" i="4"/>
  <c r="C69" i="4"/>
  <c r="M69" i="4" s="1"/>
  <c r="E58" i="4"/>
  <c r="F58" i="4"/>
  <c r="G58" i="4"/>
  <c r="H58" i="4"/>
  <c r="C58" i="4"/>
  <c r="D47" i="4"/>
  <c r="E47" i="4"/>
  <c r="F47" i="4"/>
  <c r="G47" i="4"/>
  <c r="H47" i="4"/>
  <c r="C47" i="4"/>
  <c r="M46" i="4" s="1"/>
  <c r="C40" i="4"/>
  <c r="M40" i="4" s="1"/>
  <c r="D31" i="4"/>
  <c r="D89" i="4" s="1"/>
  <c r="F31" i="4"/>
  <c r="G31" i="4"/>
  <c r="H31" i="4"/>
  <c r="J89" i="4"/>
  <c r="C31" i="4"/>
  <c r="M31" i="4" s="1"/>
  <c r="C23" i="4"/>
  <c r="M23" i="4" s="1"/>
  <c r="H23" i="4"/>
  <c r="G23" i="4"/>
  <c r="F23" i="4"/>
  <c r="F88" i="4" s="1"/>
  <c r="E23" i="4"/>
  <c r="D23" i="4"/>
  <c r="D40" i="4"/>
  <c r="E40" i="4"/>
  <c r="F40" i="4"/>
  <c r="F90" i="4" s="1"/>
  <c r="G40" i="4"/>
  <c r="G90" i="4" s="1"/>
  <c r="H40" i="4"/>
  <c r="H90" i="4" s="1"/>
  <c r="D16" i="4"/>
  <c r="E16" i="4"/>
  <c r="F16" i="4"/>
  <c r="G16" i="4"/>
  <c r="H16" i="4"/>
  <c r="C16" i="4"/>
  <c r="M16" i="4" s="1"/>
  <c r="K71" i="4"/>
  <c r="K64" i="4"/>
  <c r="K65" i="4"/>
  <c r="K66" i="4"/>
  <c r="K67" i="4"/>
  <c r="K68" i="4"/>
  <c r="K63" i="4"/>
  <c r="K60" i="4"/>
  <c r="K51" i="4"/>
  <c r="K52" i="4"/>
  <c r="K53" i="4"/>
  <c r="K54" i="4"/>
  <c r="K55" i="4"/>
  <c r="K56" i="4"/>
  <c r="K57" i="4"/>
  <c r="K50" i="4"/>
  <c r="K46" i="4"/>
  <c r="K34" i="4"/>
  <c r="K35" i="4"/>
  <c r="K36" i="4"/>
  <c r="K37" i="4"/>
  <c r="K38" i="4"/>
  <c r="K39" i="4"/>
  <c r="K33" i="4"/>
  <c r="K26" i="4"/>
  <c r="K27" i="4"/>
  <c r="K28" i="4"/>
  <c r="K29" i="4"/>
  <c r="K30" i="4"/>
  <c r="K25" i="4"/>
  <c r="K19" i="4"/>
  <c r="K20" i="4"/>
  <c r="K21" i="4"/>
  <c r="K22" i="4"/>
  <c r="K18" i="4"/>
  <c r="K4" i="4"/>
  <c r="K5" i="4"/>
  <c r="K6" i="4"/>
  <c r="K7" i="4"/>
  <c r="K8" i="4"/>
  <c r="K9" i="4"/>
  <c r="K10" i="4"/>
  <c r="K11" i="4"/>
  <c r="K12" i="4"/>
  <c r="K13" i="4"/>
  <c r="K14" i="4"/>
  <c r="K15" i="4"/>
  <c r="K3" i="4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C80" i="4" l="1"/>
  <c r="M58" i="4"/>
  <c r="D90" i="4"/>
  <c r="E90" i="4"/>
  <c r="D78" i="4"/>
  <c r="C89" i="4"/>
  <c r="K89" i="4" s="1"/>
  <c r="G80" i="4"/>
  <c r="H89" i="4"/>
  <c r="L89" i="4" s="1"/>
  <c r="M89" i="4" s="1"/>
  <c r="G88" i="4"/>
  <c r="G79" i="4"/>
  <c r="C79" i="4"/>
  <c r="H79" i="4"/>
  <c r="D87" i="4"/>
  <c r="E80" i="4"/>
  <c r="E88" i="4"/>
  <c r="C88" i="4"/>
  <c r="G89" i="4"/>
  <c r="C90" i="4"/>
  <c r="H80" i="4"/>
  <c r="D80" i="4"/>
  <c r="H88" i="4"/>
  <c r="E79" i="4"/>
  <c r="E87" i="4"/>
  <c r="E78" i="4"/>
  <c r="H87" i="4"/>
  <c r="H91" i="4" s="1"/>
  <c r="F79" i="4"/>
  <c r="D88" i="4"/>
  <c r="G78" i="4"/>
  <c r="G87" i="4"/>
  <c r="G91" i="4" s="1"/>
  <c r="F78" i="4"/>
  <c r="F80" i="4"/>
  <c r="D79" i="4"/>
  <c r="F87" i="4"/>
  <c r="F89" i="4"/>
  <c r="F91" i="4" s="1"/>
  <c r="J88" i="4"/>
  <c r="J87" i="4"/>
  <c r="H78" i="4"/>
  <c r="C78" i="4"/>
  <c r="C87" i="4"/>
  <c r="K44" i="4"/>
  <c r="K69" i="4"/>
  <c r="K61" i="4"/>
  <c r="K72" i="4"/>
  <c r="K58" i="4"/>
  <c r="K23" i="4"/>
  <c r="K47" i="4"/>
  <c r="K31" i="4"/>
  <c r="K16" i="4"/>
  <c r="K40" i="4"/>
  <c r="L87" i="4" l="1"/>
  <c r="E91" i="4"/>
  <c r="L80" i="4"/>
  <c r="M80" i="4" s="1"/>
  <c r="F81" i="4"/>
  <c r="L88" i="4"/>
  <c r="M88" i="4" s="1"/>
  <c r="C81" i="4"/>
  <c r="H81" i="4"/>
  <c r="D81" i="4"/>
  <c r="K81" i="4" s="1"/>
  <c r="L78" i="4"/>
  <c r="K90" i="4"/>
  <c r="L90" i="4"/>
  <c r="M90" i="4" s="1"/>
  <c r="L79" i="4"/>
  <c r="M79" i="4" s="1"/>
  <c r="C91" i="4"/>
  <c r="K91" i="4" s="1"/>
  <c r="G81" i="4"/>
  <c r="K79" i="4"/>
  <c r="K80" i="4"/>
  <c r="D91" i="4"/>
  <c r="K78" i="4"/>
  <c r="K88" i="4"/>
  <c r="E81" i="4"/>
  <c r="K87" i="4"/>
  <c r="A90" i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J90" i="4"/>
  <c r="J91" i="4" s="1"/>
  <c r="J81" i="4"/>
  <c r="L81" i="4" l="1"/>
  <c r="M81" i="4" s="1"/>
  <c r="M78" i="4"/>
  <c r="M87" i="4"/>
  <c r="L91" i="4"/>
  <c r="M9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tc={744F1342-47B2-4967-89EE-BBCBCA3031D7}</author>
    <author>tc={070D1335-1E7C-48B4-A73E-51D98B25DC02}</author>
    <author>tc={20D8EB66-ADAE-437B-8023-163711B4FC70}</author>
    <author>tc={570C199A-92E7-4E64-8C1C-0EAAA2A81162}</author>
    <author>tc={2E1AB609-E1E0-4A49-A28F-C8568BF6B14F}</author>
  </authors>
  <commentList>
    <comment ref="B6" authorId="0" shapeId="0" xr:uid="{744F1342-47B2-4967-89EE-BBCBCA3031D7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Любарская Светлана Викторовна:
инвалид</t>
        </r>
      </text>
    </comment>
    <comment ref="B12" authorId="1" shapeId="0" xr:uid="{070D1335-1E7C-48B4-A73E-51D98B25DC02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Любарская Светлана Викторовна:
обучался по обркредиту</t>
        </r>
      </text>
    </comment>
    <comment ref="K12" authorId="2" shapeId="0" xr:uid="{20D8EB66-ADAE-437B-8023-163711B4FC70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Любарская Светлана Викторовна:
обркредит</t>
        </r>
      </text>
    </comment>
    <comment ref="L58" authorId="3" shapeId="0" xr:uid="{570C199A-92E7-4E64-8C1C-0EAAA2A81162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Любарская Светлана Викторовна:
получает второе высшее образование бакалавриат "Юриспруденцция" будет в выпуске 2026 г.</t>
        </r>
      </text>
    </comment>
    <comment ref="B73" authorId="4" shapeId="0" xr:uid="{2E1AB609-E1E0-4A49-A28F-C8568BF6B14F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Любарская Светлана Викторовна:
в 1с Мадриджон</t>
        </r>
      </text>
    </comment>
  </commentList>
</comments>
</file>

<file path=xl/sharedStrings.xml><?xml version="1.0" encoding="utf-8"?>
<sst xmlns="http://schemas.openxmlformats.org/spreadsheetml/2006/main" count="6619" uniqueCount="867">
  <si>
    <t>Образовательная организация</t>
  </si>
  <si>
    <t>Ваш уровень образования, получаемый после защиты в 2025 году</t>
  </si>
  <si>
    <t>Форма обучения</t>
  </si>
  <si>
    <t>По какому направлению Вы обучались?</t>
  </si>
  <si>
    <t>Бюджет,         договор,     целевик</t>
  </si>
  <si>
    <t>По окончанию обучения Вы планируете...</t>
  </si>
  <si>
    <t>Укажите пожалуйста, в каком ВУЗе Вы планируете продолжить обучение (магистратура, аспирантура)</t>
  </si>
  <si>
    <t>В каком городе находится Ваша организация</t>
  </si>
  <si>
    <t>Полное наименование организации, где Вы работаете</t>
  </si>
  <si>
    <t>Функциональная область деятельности Вашей организации</t>
  </si>
  <si>
    <t>Кем Вы работаете (должность)</t>
  </si>
  <si>
    <t>01.03.02 Прикладная математика и информатика</t>
  </si>
  <si>
    <t>ГУ "Дубна"</t>
  </si>
  <si>
    <t>Бакалавриат</t>
  </si>
  <si>
    <t>Очная</t>
  </si>
  <si>
    <t>МО</t>
  </si>
  <si>
    <t>Р</t>
  </si>
  <si>
    <t>г. Дубна</t>
  </si>
  <si>
    <t>АО "ОКБ "Аэрокосмические системы"</t>
  </si>
  <si>
    <t>Техник отдела УЭМ группы АК ЭМИ</t>
  </si>
  <si>
    <t>Нет</t>
  </si>
  <si>
    <t>Поступать в магистратуру/ аспирантуру</t>
  </si>
  <si>
    <t>ГУ "Дубна", г. Дубна</t>
  </si>
  <si>
    <t>Да</t>
  </si>
  <si>
    <t>Филиал МГУ в Дубне</t>
  </si>
  <si>
    <t>Московская область, г. Дубна</t>
  </si>
  <si>
    <t>М</t>
  </si>
  <si>
    <t>Филиал МГУ, г. Дубна</t>
  </si>
  <si>
    <t>ФГБОУ ВО НИУ «МЭИ»</t>
  </si>
  <si>
    <t>Филиал МГУ, г.Дубна</t>
  </si>
  <si>
    <t>МР</t>
  </si>
  <si>
    <t>г. Москва</t>
  </si>
  <si>
    <t>Финансовый Университет при Прааитедбстве Российской Федерации</t>
  </si>
  <si>
    <t>Образование</t>
  </si>
  <si>
    <t>Ведущий программист</t>
  </si>
  <si>
    <t>02.03.02 Фундаментальная информатика и информационные технологии</t>
  </si>
  <si>
    <t xml:space="preserve"> БГТУ «Военмех» им. Д. У. Устинова г. Санкт-Петербург</t>
  </si>
  <si>
    <t xml:space="preserve">Г. Санкт-Петербург </t>
  </si>
  <si>
    <t>backend разработчик</t>
  </si>
  <si>
    <t>Московская область, г. Сергиев Посад</t>
  </si>
  <si>
    <t>г. Сергиев Посад</t>
  </si>
  <si>
    <t>ООО "В-МИН+"</t>
  </si>
  <si>
    <t xml:space="preserve"> Оператор технологического оборудования автоматизированных установок производства</t>
  </si>
  <si>
    <t>Трудоустраиваться</t>
  </si>
  <si>
    <t>Стажировка</t>
  </si>
  <si>
    <t>Ярославская область, г. Углич</t>
  </si>
  <si>
    <t>АО «Дубненский кабельный завод»</t>
  </si>
  <si>
    <t>ОПК</t>
  </si>
  <si>
    <t>Техник</t>
  </si>
  <si>
    <t>ООО «Телесеть»</t>
  </si>
  <si>
    <t>Администратор информационных систем</t>
  </si>
  <si>
    <t>Московская область, г. Дмитров</t>
  </si>
  <si>
    <t>GMCS</t>
  </si>
  <si>
    <t>разработчик 3 категории</t>
  </si>
  <si>
    <t>Разработка компьютерного программного обеспечения</t>
  </si>
  <si>
    <t>Младший специалист С++</t>
  </si>
  <si>
    <t xml:space="preserve"> ГУ "Дубна", г. Дубна</t>
  </si>
  <si>
    <t>ВСРФ</t>
  </si>
  <si>
    <t>АО «ГосМКБ «Радуга» им. А.Я. Березняка»</t>
  </si>
  <si>
    <t>ООО "Телеком МПК"</t>
  </si>
  <si>
    <t>Специалист в Техническом отделе</t>
  </si>
  <si>
    <t>Государственный Университет "Дубна"</t>
  </si>
  <si>
    <t>Инспектор центра международного сотрудничества</t>
  </si>
  <si>
    <t>НД</t>
  </si>
  <si>
    <t>Вкусно - и точка, ООО «Система ПБО»</t>
  </si>
  <si>
    <t>Работник бригады подготовки и открытия</t>
  </si>
  <si>
    <t>Московская область, г. Талдом</t>
  </si>
  <si>
    <t>НР</t>
  </si>
  <si>
    <t>ГУ «Дубна» , г. Дубна</t>
  </si>
  <si>
    <t>СГПТУ, г. Санкт-Петербург</t>
  </si>
  <si>
    <t>Брянская область, г. Новозыбков</t>
  </si>
  <si>
    <t>Г. Дубна</t>
  </si>
  <si>
    <t>АО "ДЗКТ"</t>
  </si>
  <si>
    <t>Аналитик данных</t>
  </si>
  <si>
    <t xml:space="preserve">ГУ «Дубна «, г. Дубна </t>
  </si>
  <si>
    <t xml:space="preserve">г.Москва </t>
  </si>
  <si>
    <t>Big DATA</t>
  </si>
  <si>
    <t xml:space="preserve">Программист </t>
  </si>
  <si>
    <t>Инженер-программист</t>
  </si>
  <si>
    <t>Тверская область, г. Кимры</t>
  </si>
  <si>
    <t>ОИЯИ</t>
  </si>
  <si>
    <t>Лаборант</t>
  </si>
  <si>
    <t>Тверская область, г. Калязин</t>
  </si>
  <si>
    <t>ФГУП "НИИПА"</t>
  </si>
  <si>
    <t>Инженер программист</t>
  </si>
  <si>
    <t>ГУ «Дубна», г. Дубна</t>
  </si>
  <si>
    <t xml:space="preserve"> г. Дубна</t>
  </si>
  <si>
    <t>разработчик</t>
  </si>
  <si>
    <t>Центр дополнительного образования "Райская птица"</t>
  </si>
  <si>
    <t>Учитель IT</t>
  </si>
  <si>
    <t>Школа №7</t>
  </si>
  <si>
    <t>Учитель информатики</t>
  </si>
  <si>
    <t>Самозанятый</t>
  </si>
  <si>
    <t>IT</t>
  </si>
  <si>
    <t xml:space="preserve">Fuulstack разработчик </t>
  </si>
  <si>
    <t>Московская область, г. Мытищи</t>
  </si>
  <si>
    <t>целевик</t>
  </si>
  <si>
    <t xml:space="preserve">Технический писатель </t>
  </si>
  <si>
    <t>договорник</t>
  </si>
  <si>
    <t xml:space="preserve">Младший технический писатель </t>
  </si>
  <si>
    <t>Специалист группы мониторинга</t>
  </si>
  <si>
    <t>ПроЭнерджи</t>
  </si>
  <si>
    <t>Младший программист</t>
  </si>
  <si>
    <t xml:space="preserve">Специалист </t>
  </si>
  <si>
    <t xml:space="preserve">ГУ "Дубна", г. Дубна </t>
  </si>
  <si>
    <t>ООО "БФТ"</t>
  </si>
  <si>
    <t>Московская область, г.Дубна</t>
  </si>
  <si>
    <t>г. Нижний Тагил</t>
  </si>
  <si>
    <t>НПРО «Урал»</t>
  </si>
  <si>
    <t>ООО "ИТЛС"</t>
  </si>
  <si>
    <t>ГУ «Дубна», Г. Дубна</t>
  </si>
  <si>
    <t>ООО «СЕО-Импульс»</t>
  </si>
  <si>
    <t>Специалист поисковой оптимизации</t>
  </si>
  <si>
    <t>ИТМО</t>
  </si>
  <si>
    <t>ОЭЗ</t>
  </si>
  <si>
    <t>г.Владимир</t>
  </si>
  <si>
    <t>Инрэко лан</t>
  </si>
  <si>
    <t>Разработка ПО</t>
  </si>
  <si>
    <t xml:space="preserve">Инженер-программист 2ой категории </t>
  </si>
  <si>
    <t>Информационные технологии лин сервис</t>
  </si>
  <si>
    <t>ООО "Хоппер-ИТ"</t>
  </si>
  <si>
    <t xml:space="preserve">Специалист группы мониторинга </t>
  </si>
  <si>
    <t>ВС РФ</t>
  </si>
  <si>
    <t>ФКУ "Налог-сервис" ФНС России по ЦОД в г. Дубна</t>
  </si>
  <si>
    <t>Старший специалист отдела информационной безопасности</t>
  </si>
  <si>
    <t>ОПК, ОЭЗ</t>
  </si>
  <si>
    <t xml:space="preserve">ИТМО, г. Санкт-Петербург </t>
  </si>
  <si>
    <t>Специалитет</t>
  </si>
  <si>
    <t>Оператор</t>
  </si>
  <si>
    <t>г.Тверь</t>
  </si>
  <si>
    <t>ГУ "Дубна", г.Дубна</t>
  </si>
  <si>
    <t>г.Дубна</t>
  </si>
  <si>
    <t>Оператор технической поддержки</t>
  </si>
  <si>
    <t>09.03.03 Прикладная информатика</t>
  </si>
  <si>
    <t>АО "ПРОМТЕХ-Дубна"</t>
  </si>
  <si>
    <t>ООО "Рини"</t>
  </si>
  <si>
    <t>Программист</t>
  </si>
  <si>
    <t xml:space="preserve">Московская область, г. Красногорск </t>
  </si>
  <si>
    <t>ООО "Видеоинтеллект"</t>
  </si>
  <si>
    <t>Стажер веб-программист</t>
  </si>
  <si>
    <t>АО"НПК "Дедал"</t>
  </si>
  <si>
    <t>Тестировщик</t>
  </si>
  <si>
    <t>г. Псков</t>
  </si>
  <si>
    <t>"Endi"</t>
  </si>
  <si>
    <t>3D-дизайнер</t>
  </si>
  <si>
    <t>Ведущий специалист (дизайнер)</t>
  </si>
  <si>
    <t xml:space="preserve">Специалист по продвижению проектов отдела маркетинга и связей с общественностью </t>
  </si>
  <si>
    <t>Библиотечная система Университета «Дубна»</t>
  </si>
  <si>
    <t xml:space="preserve">Техник </t>
  </si>
  <si>
    <t>Московский политех</t>
  </si>
  <si>
    <t>ООО "Телесеть"</t>
  </si>
  <si>
    <t>Мультимедийный дизайнер</t>
  </si>
  <si>
    <t>АО «Цифровая Мануфактура»</t>
  </si>
  <si>
    <t>UX/UI Дизайнер</t>
  </si>
  <si>
    <t>ООО "Тотопица"</t>
  </si>
  <si>
    <t>Сушист</t>
  </si>
  <si>
    <t>ГУ «Дубна», г.Дубна</t>
  </si>
  <si>
    <t>Инженер-программист 3 категории</t>
  </si>
  <si>
    <t>"Синергия"</t>
  </si>
  <si>
    <t>Теремок</t>
  </si>
  <si>
    <t>Повар-кассир</t>
  </si>
  <si>
    <t>г. Кимры</t>
  </si>
  <si>
    <t xml:space="preserve">ИП Калантаров </t>
  </si>
  <si>
    <t>Бариста</t>
  </si>
  <si>
    <t>Кофейня "Атом Кофе"</t>
  </si>
  <si>
    <t>09.03.04 Программная инженерия</t>
  </si>
  <si>
    <t>Программная инженерия</t>
  </si>
  <si>
    <t xml:space="preserve">Программный инженер </t>
  </si>
  <si>
    <t>МИСИС</t>
  </si>
  <si>
    <t>ООО "Ред Софт"</t>
  </si>
  <si>
    <t>Аналитик (системный, бизнес)</t>
  </si>
  <si>
    <t>ИТМО, г. Санкт-Петербург</t>
  </si>
  <si>
    <t>ООО "ДУБНАТЕХ"</t>
  </si>
  <si>
    <t>ООО "КлаудКом"</t>
  </si>
  <si>
    <t xml:space="preserve">Технический руководитель проекта </t>
  </si>
  <si>
    <t>Вятский государственный университет</t>
  </si>
  <si>
    <t>Старший-инженер</t>
  </si>
  <si>
    <t>Магистратура</t>
  </si>
  <si>
    <t>QA</t>
  </si>
  <si>
    <t>Старший инженер</t>
  </si>
  <si>
    <t>-</t>
  </si>
  <si>
    <t>ООО "Комита ЦТ"</t>
  </si>
  <si>
    <t xml:space="preserve">Младший разработчик </t>
  </si>
  <si>
    <t>г.Санкт-Петербург</t>
  </si>
  <si>
    <t>Ип Харитонов Сергей Евгеньевич</t>
  </si>
  <si>
    <t>Продакт менеджер</t>
  </si>
  <si>
    <t>ООО "Нордавинд-Дубна"</t>
  </si>
  <si>
    <t xml:space="preserve">Помощник системного администратора </t>
  </si>
  <si>
    <t>DevOps-инженер</t>
  </si>
  <si>
    <t>ИТМО, Санкт-Петербург</t>
  </si>
  <si>
    <t>Тверская область, г. Тверь</t>
  </si>
  <si>
    <t>Разработчик</t>
  </si>
  <si>
    <t>СКБ "Тензор"</t>
  </si>
  <si>
    <t>Инженер -программист</t>
  </si>
  <si>
    <t>: ГУ "Дубна", г. Дубна</t>
  </si>
  <si>
    <t>ООО "Красный Фрегат"</t>
  </si>
  <si>
    <t>Программист Java</t>
  </si>
  <si>
    <t>тестировщик</t>
  </si>
  <si>
    <t>Ярославская область, г.Углич</t>
  </si>
  <si>
    <t>Техник конструктор</t>
  </si>
  <si>
    <t>г. Дубна/Москва</t>
  </si>
  <si>
    <t xml:space="preserve">Разработчик (джун+/мидл) </t>
  </si>
  <si>
    <t>АО "ДМЗ им. Н. П. Федорова"</t>
  </si>
  <si>
    <t>Конструктор</t>
  </si>
  <si>
    <t>ICEWOOD</t>
  </si>
  <si>
    <t>Менеджер проекта</t>
  </si>
  <si>
    <t>г. Алушта</t>
  </si>
  <si>
    <t>Общество с ограниченной ответственностью "Иммерстех"</t>
  </si>
  <si>
    <t>Генеральный директор</t>
  </si>
  <si>
    <t>15.03.04 Автоматизация технологических процессов и производств</t>
  </si>
  <si>
    <t>г.Углич</t>
  </si>
  <si>
    <t>ЦРБ</t>
  </si>
  <si>
    <t>ООО "С-Компонент"</t>
  </si>
  <si>
    <t>Инженер-стажер</t>
  </si>
  <si>
    <t>Техник-технолог</t>
  </si>
  <si>
    <t>г.Москва</t>
  </si>
  <si>
    <t>ООО «КНС ГРУПП»</t>
  </si>
  <si>
    <t>Инженер</t>
  </si>
  <si>
    <t>38.03.01 Экономика</t>
  </si>
  <si>
    <t>Техник (экономист по труду)</t>
  </si>
  <si>
    <t>38.03.05 Бизнес-информатика</t>
  </si>
  <si>
    <t>Бизнес-информатика</t>
  </si>
  <si>
    <t>Московский политехнический университет</t>
  </si>
  <si>
    <t>ООО "Блейз Аналитикс"</t>
  </si>
  <si>
    <t>Аналитик-разработчик</t>
  </si>
  <si>
    <t>ООО «Блейз Аналитикс»</t>
  </si>
  <si>
    <t>IT-компания</t>
  </si>
  <si>
    <t xml:space="preserve">Аналитик-разработчик </t>
  </si>
  <si>
    <t>Аналитик</t>
  </si>
  <si>
    <t>ООО «Ред-софт-центр»</t>
  </si>
  <si>
    <t xml:space="preserve">Аналитик </t>
  </si>
  <si>
    <t>ООО "Redbee"</t>
  </si>
  <si>
    <t>SEO-специалист</t>
  </si>
  <si>
    <t>АР</t>
  </si>
  <si>
    <t xml:space="preserve">ММО ОИЯИ - инженер, МБОУ СОШ - учитель информатики </t>
  </si>
  <si>
    <t xml:space="preserve">инженер, учитель информатики </t>
  </si>
  <si>
    <t>г. Воронеж</t>
  </si>
  <si>
    <t>ИП Синюков Иван Сергеевич</t>
  </si>
  <si>
    <t>Руководитель отдела разработки</t>
  </si>
  <si>
    <t xml:space="preserve">Системный аналитик группы математического моделирования отдела специального ПО конструкторского бюро вычислительных системах </t>
  </si>
  <si>
    <t>09.04.03 Прикладная информатика</t>
  </si>
  <si>
    <t>Специалист</t>
  </si>
  <si>
    <t>ООО "Логстрим"</t>
  </si>
  <si>
    <t>Информационные технологии</t>
  </si>
  <si>
    <t>Младший экономист</t>
  </si>
  <si>
    <t>г.Саратов</t>
  </si>
  <si>
    <t>Компания ASAP</t>
  </si>
  <si>
    <t xml:space="preserve">Инженер программист </t>
  </si>
  <si>
    <t xml:space="preserve">Инженер-программист </t>
  </si>
  <si>
    <t>фриланс</t>
  </si>
  <si>
    <t>Ведущий инженер-программист</t>
  </si>
  <si>
    <t>АО "Ланит"</t>
  </si>
  <si>
    <t>Старший веб разработчик</t>
  </si>
  <si>
    <t>ООО "Финансовые системы и технологии"</t>
  </si>
  <si>
    <t>Разработчик хэлп деск</t>
  </si>
  <si>
    <t>лаборант</t>
  </si>
  <si>
    <t>Мик-информ</t>
  </si>
  <si>
    <t xml:space="preserve">Разработчик </t>
  </si>
  <si>
    <t>ООО «ГАРС»</t>
  </si>
  <si>
    <t xml:space="preserve">Руководитель команды разработки </t>
  </si>
  <si>
    <t>МИФИ,г. Москва</t>
  </si>
  <si>
    <t>Старший техник</t>
  </si>
  <si>
    <t>ООО "ПРОЦифру"</t>
  </si>
  <si>
    <t>Старший бэк-энд разработчик.</t>
  </si>
  <si>
    <t>ФГБУ "Центр экспертизы и координации информатизации"</t>
  </si>
  <si>
    <t>Ведущий специалист</t>
  </si>
  <si>
    <t>Ведущий специалист по информационным технологиям</t>
  </si>
  <si>
    <t>UX/UI-дизайнер</t>
  </si>
  <si>
    <t>Инженер-конструктор</t>
  </si>
  <si>
    <t xml:space="preserve">Мл. специалист </t>
  </si>
  <si>
    <t>ООО «Технологии Доверия»</t>
  </si>
  <si>
    <t>Бизнес-Аналитик</t>
  </si>
  <si>
    <t>ФГБУ "ВНИГНИ"</t>
  </si>
  <si>
    <t>г.Кимры</t>
  </si>
  <si>
    <t>ООО "Эконатурпрод"</t>
  </si>
  <si>
    <t>Заместительгенерального директора по эксплуатации техники и оборудования</t>
  </si>
  <si>
    <t>38.04.01 Экономика</t>
  </si>
  <si>
    <t xml:space="preserve">Экономика </t>
  </si>
  <si>
    <t>ООО "Промышленные технологии"</t>
  </si>
  <si>
    <t>Консультант Плюс</t>
  </si>
  <si>
    <t>Администратор информационного банка</t>
  </si>
  <si>
    <t>ООО "Паноптикум"</t>
  </si>
  <si>
    <t>Коммерческий директор</t>
  </si>
  <si>
    <t>ЗАОЧНАЯ ФОРМА ОБУЧЕНИЯ</t>
  </si>
  <si>
    <t>Заочная</t>
  </si>
  <si>
    <t>г.Калининград</t>
  </si>
  <si>
    <t>ООО «1С-Битрикс»</t>
  </si>
  <si>
    <t>Разработчик чат-ботов</t>
  </si>
  <si>
    <t>Московский институт психоанализа</t>
  </si>
  <si>
    <t>ООО "Аксеникс-Инсайт"</t>
  </si>
  <si>
    <t>Консалтинговая компания, it-сектор</t>
  </si>
  <si>
    <t>Старший разработчик программного обеспечения</t>
  </si>
  <si>
    <t>ООО "Ритейл Рокет"</t>
  </si>
  <si>
    <t>Разработчик серверной части С1</t>
  </si>
  <si>
    <t>ООО "ЯДРО ФАБ ДУБНА"</t>
  </si>
  <si>
    <t>разработчик IT</t>
  </si>
  <si>
    <t>Красноярский край, г. Железногорск</t>
  </si>
  <si>
    <t>АО «РЕШЕТНЁВ»</t>
  </si>
  <si>
    <t>Разработчик и производитель спутников связи, телевещания, навигации и геодезии.</t>
  </si>
  <si>
    <t>Московская область, г. Электросталь</t>
  </si>
  <si>
    <t>ООО "ВБ ТЕХ"</t>
  </si>
  <si>
    <t>Администратор систем безопасности</t>
  </si>
  <si>
    <t>заграничный ВУЗ, The Open University </t>
  </si>
  <si>
    <t>г. Нижний Новгород</t>
  </si>
  <si>
    <t>АО "Транссеть"</t>
  </si>
  <si>
    <t>Разработка BSS/OSS, ITSM, EAM/WFM, MES решений</t>
  </si>
  <si>
    <t>Программист, тимлид, техлид направления</t>
  </si>
  <si>
    <t>Тюменская область, г.Тюмень</t>
  </si>
  <si>
    <t>г. Тюмень</t>
  </si>
  <si>
    <t>ИП Дребнев В.С.</t>
  </si>
  <si>
    <t>г. Тверь</t>
  </si>
  <si>
    <t>тктс</t>
  </si>
  <si>
    <t>Водитель</t>
  </si>
  <si>
    <t>Тверская область ,г. Кимры</t>
  </si>
  <si>
    <t>Ип Гусев Ф. С</t>
  </si>
  <si>
    <t>Производство</t>
  </si>
  <si>
    <t>Владимирская область, г. Владимир</t>
  </si>
  <si>
    <t>Московская область, г. Кашира</t>
  </si>
  <si>
    <t>Правоохранительные органы</t>
  </si>
  <si>
    <t>Начальник службы</t>
  </si>
  <si>
    <t>ЯНАО,г. Муравленко</t>
  </si>
  <si>
    <t>Санкт - Петербург</t>
  </si>
  <si>
    <t>ООО "Гет Ит"</t>
  </si>
  <si>
    <t>Разработка</t>
  </si>
  <si>
    <t>ООО "ИКС-ТЕХ"</t>
  </si>
  <si>
    <t>Производственное, контрольно-измерительное оборудование</t>
  </si>
  <si>
    <t>Специалист отдела качества</t>
  </si>
  <si>
    <t>Федеральное автономное учреждение "Национальный институт аккредитации"</t>
  </si>
  <si>
    <t>ИТ</t>
  </si>
  <si>
    <t>Заместитель генерального директора / Директор по ИТ</t>
  </si>
  <si>
    <t>АНО "Школа 21"</t>
  </si>
  <si>
    <t>Московская область , д. Островцы</t>
  </si>
  <si>
    <t>г.Жуковский</t>
  </si>
  <si>
    <t>ФГБУ «Жуковский авиационно-спасательный центр» МЧС России</t>
  </si>
  <si>
    <t>Спасательный центр</t>
  </si>
  <si>
    <t>Военнослужащий</t>
  </si>
  <si>
    <t>В поиске</t>
  </si>
  <si>
    <t>ООО «РСХБ-Интех»</t>
  </si>
  <si>
    <t>Главный инженер</t>
  </si>
  <si>
    <t>Тульская область, г. Ефремов</t>
  </si>
  <si>
    <t>Ленинградская область,г. Санкт-Петербург</t>
  </si>
  <si>
    <t xml:space="preserve"> Московская область,г. Сергиев Посад </t>
  </si>
  <si>
    <t>УЗБЕКИСТАН</t>
  </si>
  <si>
    <t>Ярославская область,г. Углич</t>
  </si>
  <si>
    <t>Республика Адыгея, г.Майкоп</t>
  </si>
  <si>
    <t>Прикладная информатика</t>
  </si>
  <si>
    <t>АО Ингосстрах банк</t>
  </si>
  <si>
    <t>Финансы/Банк</t>
  </si>
  <si>
    <t>Главный портфельный аналитик</t>
  </si>
  <si>
    <t>АО «Промтех-Дубна»</t>
  </si>
  <si>
    <t>Опк</t>
  </si>
  <si>
    <t>Оператор ЧПУ</t>
  </si>
  <si>
    <t>Московская область, г. Подольск</t>
  </si>
  <si>
    <t>ООО «Иртея»</t>
  </si>
  <si>
    <t>Телеком вендор</t>
  </si>
  <si>
    <t>Старший инженер (middle DevOps)</t>
  </si>
  <si>
    <t>ПАО «ЛК «Европлан»</t>
  </si>
  <si>
    <t>Лизинговая компания</t>
  </si>
  <si>
    <t>Старший эксперт, сектор системных инженеров</t>
  </si>
  <si>
    <t xml:space="preserve"> Владимирская область,г. Муром</t>
  </si>
  <si>
    <t>Калужская область, с. Маклино</t>
  </si>
  <si>
    <t>Инженер по метрологическому обеспечению</t>
  </si>
  <si>
    <t>ООО"Акватехмаркет"</t>
  </si>
  <si>
    <t>Инжиниринговая организация</t>
  </si>
  <si>
    <t>Логист</t>
  </si>
  <si>
    <t>Московская область, г.Ивантеевка</t>
  </si>
  <si>
    <t>ФГБУ ЦКБП УДП РФ</t>
  </si>
  <si>
    <t>Организация здровоохранения</t>
  </si>
  <si>
    <t>врач-рентгенолог</t>
  </si>
  <si>
    <t>Московская область, г. Домодедово</t>
  </si>
  <si>
    <t>АО "Позитив Текнолоджиз"</t>
  </si>
  <si>
    <t>Руководитель отдела учета товарно-материальных ценностей</t>
  </si>
  <si>
    <t>Московская область, д. Павловском</t>
  </si>
  <si>
    <t>АО «ЦНИТИ ТехноМаш-ВОС»</t>
  </si>
  <si>
    <t>Московская область ,г. Нахабино</t>
  </si>
  <si>
    <t>МЦ АУВД</t>
  </si>
  <si>
    <t>Безопасность воздушного движения</t>
  </si>
  <si>
    <t>Диспетчер ПВД</t>
  </si>
  <si>
    <t>Самарская область, г. Самара</t>
  </si>
  <si>
    <t>Московская область, г. Люберцы</t>
  </si>
  <si>
    <t>Московская область</t>
  </si>
  <si>
    <t>Строительство</t>
  </si>
  <si>
    <t>Руководитель отдела</t>
  </si>
  <si>
    <t>Московская область, д. Сапроново</t>
  </si>
  <si>
    <t xml:space="preserve"> Оренбургская область, г.Абдулино </t>
  </si>
  <si>
    <t xml:space="preserve"> Архангельская область, г.Онега </t>
  </si>
  <si>
    <t xml:space="preserve"> Ямало-Ненецкий АО,г. Новый Уренгой </t>
  </si>
  <si>
    <t xml:space="preserve">Тверская область,г. Конаково </t>
  </si>
  <si>
    <t>Тамбовская область,г.Тамбов</t>
  </si>
  <si>
    <t>Московская область, г. Дзержинский</t>
  </si>
  <si>
    <t>Московская область г. Дзержинский</t>
  </si>
  <si>
    <t>Техногрупп Белгород</t>
  </si>
  <si>
    <t>мл. специалист по ОТ</t>
  </si>
  <si>
    <t>Я уже работаю и собираюсь поступать в магистратуру/аспирантуру</t>
  </si>
  <si>
    <t>Я уже работаю</t>
  </si>
  <si>
    <t>ООО "Территория ПоС"</t>
  </si>
  <si>
    <t>Торговля торговым оборудованием, и вычислительной техникой , сервис , программирование</t>
  </si>
  <si>
    <t>Владелец Продукта Сервисы</t>
  </si>
  <si>
    <t>НКО Монета</t>
  </si>
  <si>
    <t>Платежная система</t>
  </si>
  <si>
    <t>Системный аналитик</t>
  </si>
  <si>
    <t>Московская область, г. Королёв</t>
  </si>
  <si>
    <t>Предприятие оборонно-промышленного комплекса (ОПК)</t>
  </si>
  <si>
    <t>Волжский РГС - филиал ФГБУ "Канал имени Москвы"</t>
  </si>
  <si>
    <t>Обеспечение функционирования гидротехнических сооружений</t>
  </si>
  <si>
    <t>Московская обл. г. Московский</t>
  </si>
  <si>
    <t>Военная организация</t>
  </si>
  <si>
    <t>Командир роты</t>
  </si>
  <si>
    <t>Московская область, г. Балашиха</t>
  </si>
  <si>
    <t>АО "ЦНИИАГ"</t>
  </si>
  <si>
    <t>Институт</t>
  </si>
  <si>
    <t>Инженер-программиста 1 категории</t>
  </si>
  <si>
    <t>Декрет</t>
  </si>
  <si>
    <t>03.03.02 Физика</t>
  </si>
  <si>
    <t>КазГу</t>
  </si>
  <si>
    <t>ГУ Дубна, г.Дубна</t>
  </si>
  <si>
    <t>ГУ "Дубна", г Дубна</t>
  </si>
  <si>
    <t>11.03.03 Конструирование и технология электронных средств</t>
  </si>
  <si>
    <t>ООО "НПП "Детектор"</t>
  </si>
  <si>
    <t xml:space="preserve">г. Запрудня </t>
  </si>
  <si>
    <t xml:space="preserve">ООО "Приводная техника" </t>
  </si>
  <si>
    <t>Инженер-электронщик</t>
  </si>
  <si>
    <t>технолог</t>
  </si>
  <si>
    <t>ГУ"Дубна", г. Дубна</t>
  </si>
  <si>
    <t>ГУ «Дубна». г. Дубна</t>
  </si>
  <si>
    <t>13.03.02 Электроэнергетика электротехника</t>
  </si>
  <si>
    <t>Техник-конструктор</t>
  </si>
  <si>
    <t>АО "МПОТК "ТЕХНОКОМПЛЕКТ"</t>
  </si>
  <si>
    <t>АО "ВНИТЭП"</t>
  </si>
  <si>
    <t xml:space="preserve">Сервисный инженер </t>
  </si>
  <si>
    <t xml:space="preserve">ГУ «Дубна», г.Дубна </t>
  </si>
  <si>
    <t xml:space="preserve">Г. Дубна </t>
  </si>
  <si>
    <t>НИЯУ МИФИ</t>
  </si>
  <si>
    <t xml:space="preserve">г. Москва </t>
  </si>
  <si>
    <t xml:space="preserve">г. Дубна </t>
  </si>
  <si>
    <t>ООО "НПП "ДЕТЕКТОР"</t>
  </si>
  <si>
    <t>Инженер испытатель</t>
  </si>
  <si>
    <t>24.03.04 Авиастроение</t>
  </si>
  <si>
    <t>МАИ, г. Москва</t>
  </si>
  <si>
    <t>инженер отдела аэродинамики</t>
  </si>
  <si>
    <t>САФУ г. Архангельск</t>
  </si>
  <si>
    <t xml:space="preserve">Техник-конструктор </t>
  </si>
  <si>
    <t>МАИ</t>
  </si>
  <si>
    <t xml:space="preserve">ОП АО "Кронштадт" </t>
  </si>
  <si>
    <t xml:space="preserve">Младший специалист </t>
  </si>
  <si>
    <t>Специалист по учебно-методической работе</t>
  </si>
  <si>
    <t>Старший лаборант</t>
  </si>
  <si>
    <t xml:space="preserve">ГУ "Дубна" </t>
  </si>
  <si>
    <t xml:space="preserve">Лаборант </t>
  </si>
  <si>
    <t>Специалист отдела сертификации</t>
  </si>
  <si>
    <t>ФБ</t>
  </si>
  <si>
    <t>Специалист 1 категории</t>
  </si>
  <si>
    <t xml:space="preserve">Инженер конструктор </t>
  </si>
  <si>
    <t>ООО "Энкор"</t>
  </si>
  <si>
    <t>Слесарь-электрик</t>
  </si>
  <si>
    <t>ООО "АтомИнтелМаш"</t>
  </si>
  <si>
    <t>Специалист КТО</t>
  </si>
  <si>
    <t>Инженер-конструктор 3 категории</t>
  </si>
  <si>
    <t xml:space="preserve">Инженер-схемотехник </t>
  </si>
  <si>
    <t>Младший специалист</t>
  </si>
  <si>
    <t>Инженер по управлению электронным макетом</t>
  </si>
  <si>
    <t>ст.лаборант</t>
  </si>
  <si>
    <t>ООО " НПО  Экохимприбор"</t>
  </si>
  <si>
    <t>Инженер-проектировщик</t>
  </si>
  <si>
    <t>Инженер-схемотехник 3 категории</t>
  </si>
  <si>
    <t>Инженер конструктор 3-й категории</t>
  </si>
  <si>
    <t>04.03.01 Химия</t>
  </si>
  <si>
    <t>ООО "Полекс Бьюти"</t>
  </si>
  <si>
    <t>Инженер-химик 1 категории</t>
  </si>
  <si>
    <t>Автономная некоммерческая общеобразовательная организация</t>
  </si>
  <si>
    <t>Лаборант-осн, лаборант и ассистент по совм.(2 долж)</t>
  </si>
  <si>
    <t>ООО «НПП «Детектор»</t>
  </si>
  <si>
    <t>Инженер-химик</t>
  </si>
  <si>
    <t>АО "НПО"КРИПТЕН"</t>
  </si>
  <si>
    <t xml:space="preserve"> ООО "КИН" </t>
  </si>
  <si>
    <t>Химик 2 категории</t>
  </si>
  <si>
    <t>МИРЭА, г. Москва</t>
  </si>
  <si>
    <t>г.Астрахань</t>
  </si>
  <si>
    <t>ROSSVIK</t>
  </si>
  <si>
    <t>Химик-лаборант</t>
  </si>
  <si>
    <t>СПБГУ или ИТМО</t>
  </si>
  <si>
    <t>04.03.02 Химия, физика и механика материалов</t>
  </si>
  <si>
    <t>ГУ Дубна, г. Дубна</t>
  </si>
  <si>
    <t>МГТУ им. Баумана,               г. Москва</t>
  </si>
  <si>
    <t>ООО "Центр Водородных Технологий"</t>
  </si>
  <si>
    <t>МГУ, г. Москва</t>
  </si>
  <si>
    <t>РАНХиГС, г.Москва</t>
  </si>
  <si>
    <t>Мастер</t>
  </si>
  <si>
    <t>Лаборант-микробиолог</t>
  </si>
  <si>
    <t>ИП</t>
  </si>
  <si>
    <t>КФУ</t>
  </si>
  <si>
    <t>г.Казань</t>
  </si>
  <si>
    <t>Российская открытая академия транспорта МИИТ</t>
  </si>
  <si>
    <t>Центральное управление Ростехнадзора</t>
  </si>
  <si>
    <t xml:space="preserve">Государственный инспектор </t>
  </si>
  <si>
    <t>АНО "ЦОК ПА"</t>
  </si>
  <si>
    <t xml:space="preserve">МО г.Электрогорск </t>
  </si>
  <si>
    <t>АО "ЭКОлаб" отд."Лаборатория белковой инженерии"</t>
  </si>
  <si>
    <t>инженер-биотехнолог</t>
  </si>
  <si>
    <t>художник</t>
  </si>
  <si>
    <t xml:space="preserve">ГУ «Дубна», г. Дубна </t>
  </si>
  <si>
    <t>Инженер-технолог 3-й категории</t>
  </si>
  <si>
    <t>21.05.03 Технология геологической разведки</t>
  </si>
  <si>
    <t>Технология геологической разведки</t>
  </si>
  <si>
    <t>Инженер-технолог</t>
  </si>
  <si>
    <t>Специалист отдела внешней кооперации</t>
  </si>
  <si>
    <t>Младший специалист ОВК</t>
  </si>
  <si>
    <t xml:space="preserve"> ХМАО                                  г. Нижневартовск</t>
  </si>
  <si>
    <t>ООО "ГЕРС СЕРВИС"</t>
  </si>
  <si>
    <t>Инженер по бурению    3-категории</t>
  </si>
  <si>
    <t>ООО Яндекс</t>
  </si>
  <si>
    <t>Руководитель группы</t>
  </si>
  <si>
    <t>АО "НПК Дедал"</t>
  </si>
  <si>
    <t>Технолог</t>
  </si>
  <si>
    <t>Дмитровский г.о. Автополигон</t>
  </si>
  <si>
    <t>НИЦИАМТ ФГУП "НАМИ"</t>
  </si>
  <si>
    <t>Инженер-испытатель 2 категории</t>
  </si>
  <si>
    <t>МФТИ г.Москва</t>
  </si>
  <si>
    <t>Университет "Дубна"</t>
  </si>
  <si>
    <t>Специалист по УМР</t>
  </si>
  <si>
    <t xml:space="preserve">Инженер-технолог III категории </t>
  </si>
  <si>
    <t>АО" НПЦ "АСПЕКТ"</t>
  </si>
  <si>
    <t>Регулировщик</t>
  </si>
  <si>
    <t>04.04.01 Химия</t>
  </si>
  <si>
    <t>Младший научный сотрудник</t>
  </si>
  <si>
    <t>Инженер по химико-аналитическим испытаниям</t>
  </si>
  <si>
    <t>АО «АЛТЕГРА»</t>
  </si>
  <si>
    <t>Химик-аналитик</t>
  </si>
  <si>
    <t>НИР в области естественных и технических наук прочие</t>
  </si>
  <si>
    <t>Физико-математический лицей им. академика В.Г. Кадышевского; ГУ «Дубна»</t>
  </si>
  <si>
    <t xml:space="preserve">Лаборант, учитель химии; ассистент </t>
  </si>
  <si>
    <t>Московская область,           г. Дмитров</t>
  </si>
  <si>
    <t>Комплексные поставки</t>
  </si>
  <si>
    <t>Подсобный рабочий</t>
  </si>
  <si>
    <t>Тверская область, г.Кимры</t>
  </si>
  <si>
    <t xml:space="preserve">Московская область,                г. Дубна </t>
  </si>
  <si>
    <t>37.03.01 Психология</t>
  </si>
  <si>
    <t xml:space="preserve">Московский институт психоанализа </t>
  </si>
  <si>
    <t>Специалист по продвижению проектов (SMM)</t>
  </si>
  <si>
    <t>МГППУ г. Москва</t>
  </si>
  <si>
    <t>38.03.04 Государственное и муниципальное управление</t>
  </si>
  <si>
    <t>ГМУ</t>
  </si>
  <si>
    <t>РАНХиГС , г. Москва</t>
  </si>
  <si>
    <t>ГБУ "КЦСОН " КМО</t>
  </si>
  <si>
    <t xml:space="preserve">г. Дмитров </t>
  </si>
  <si>
    <t xml:space="preserve">МБУ "КМЦ "Сфера" </t>
  </si>
  <si>
    <t xml:space="preserve">Заместитель директора </t>
  </si>
  <si>
    <t>Бильярдный клуб "Дуплет"</t>
  </si>
  <si>
    <t>Администратор, бармен</t>
  </si>
  <si>
    <t>Кофейня</t>
  </si>
  <si>
    <t>Управляющий заведением</t>
  </si>
  <si>
    <t>МБУ «Комплексный молодёжный центр «Инициатива»</t>
  </si>
  <si>
    <t xml:space="preserve">Специалист по работе с молодёжью (координатор регионального движения Волонтёры Подмосковья) </t>
  </si>
  <si>
    <t>Оператор баз данных ПДО</t>
  </si>
  <si>
    <t>Официант</t>
  </si>
  <si>
    <t>Отдел образования администрации    Кашинского района</t>
  </si>
  <si>
    <t>39.03.01 Социология</t>
  </si>
  <si>
    <t>Тестировщик программного обеспечения</t>
  </si>
  <si>
    <t>Media Instinct Group</t>
  </si>
  <si>
    <t>Ассистент менеджера по медиапланированию и работе с клиентами</t>
  </si>
  <si>
    <t>г. Ефремов</t>
  </si>
  <si>
    <t>Старший клиентский менеджер</t>
  </si>
  <si>
    <t>Северный (Арктический) федеральный университет имени М. В. Ломоносова г. Архангельск</t>
  </si>
  <si>
    <t>МосГорТур</t>
  </si>
  <si>
    <t xml:space="preserve"> СПБГУ  </t>
  </si>
  <si>
    <t>Веб-дизайнер</t>
  </si>
  <si>
    <t>Robokassa</t>
  </si>
  <si>
    <t>Менеджер по продажам</t>
  </si>
  <si>
    <t>г. Новомосковск Тульская область</t>
  </si>
  <si>
    <t>Фитнес клуб Атлетика+</t>
  </si>
  <si>
    <t>Сервис-менеджер</t>
  </si>
  <si>
    <t>Феникс China</t>
  </si>
  <si>
    <t xml:space="preserve">ООО Beltanee </t>
  </si>
  <si>
    <t>ООО «АртПобеда»</t>
  </si>
  <si>
    <t xml:space="preserve">Тестировщик, сотрудник технической поддержки </t>
  </si>
  <si>
    <t>40.03.01 Юриспруденция</t>
  </si>
  <si>
    <t>Юридическая компания "Интел-право"</t>
  </si>
  <si>
    <t>Помощник юриста</t>
  </si>
  <si>
    <t xml:space="preserve">Дубненский городской суд Московской области </t>
  </si>
  <si>
    <t xml:space="preserve">Юриспруденция </t>
  </si>
  <si>
    <t xml:space="preserve">Секретарь судебного заседания </t>
  </si>
  <si>
    <t>СЗФ"Российский государственный университет правосудия"</t>
  </si>
  <si>
    <t>Помощник судьи</t>
  </si>
  <si>
    <t>Тимирязевский районный суд г.Москвы</t>
  </si>
  <si>
    <t>Секретарь суда</t>
  </si>
  <si>
    <t>МФЮА, г. Москва</t>
  </si>
  <si>
    <t xml:space="preserve">Секретарь судебных заседаний </t>
  </si>
  <si>
    <t>г.Дмитров</t>
  </si>
  <si>
    <t>ПКиО «Березовая роща»</t>
  </si>
  <si>
    <t xml:space="preserve">Юридический отдел </t>
  </si>
  <si>
    <t xml:space="preserve">Юрист </t>
  </si>
  <si>
    <t>ООО "Люкс Праздник "</t>
  </si>
  <si>
    <t xml:space="preserve">оформление мероприятий </t>
  </si>
  <si>
    <t xml:space="preserve">управляющий </t>
  </si>
  <si>
    <t>НИ</t>
  </si>
  <si>
    <t>Юриспруденция (УП)</t>
  </si>
  <si>
    <t>ДОДО ПИЦЦА</t>
  </si>
  <si>
    <t>Кассир</t>
  </si>
  <si>
    <t xml:space="preserve">ГУ "Дубна" г. Дубна </t>
  </si>
  <si>
    <t xml:space="preserve">Консультант суда </t>
  </si>
  <si>
    <t>Секретарь судебного заседания</t>
  </si>
  <si>
    <t>45.03.02 Лингвистика</t>
  </si>
  <si>
    <t>Репетитор онлайн</t>
  </si>
  <si>
    <t>Языковая школа Divelang</t>
  </si>
  <si>
    <t>Специалист в ДепМС</t>
  </si>
  <si>
    <t>г. Горячий ключ</t>
  </si>
  <si>
    <t>Частная школа "Личность ПЛЮС"</t>
  </si>
  <si>
    <t>Учитель иностранных языков</t>
  </si>
  <si>
    <t>МГПУ</t>
  </si>
  <si>
    <t>Дмитровский техникум СП №3</t>
  </si>
  <si>
    <t>Преподавыатель иностранного языка</t>
  </si>
  <si>
    <t>Студия изучения английского языка Uknow (online)</t>
  </si>
  <si>
    <t xml:space="preserve"> Специалист по работе с детьми</t>
  </si>
  <si>
    <t xml:space="preserve">г.Дмитров </t>
  </si>
  <si>
    <t>ИП "Пункт выдачи "Озон"</t>
  </si>
  <si>
    <t xml:space="preserve">рп. Вербилки </t>
  </si>
  <si>
    <t>МОУ Вербилковская СОШ</t>
  </si>
  <si>
    <t xml:space="preserve">учитель английского </t>
  </si>
  <si>
    <t>переводчик</t>
  </si>
  <si>
    <t>ПАО "Тензор"</t>
  </si>
  <si>
    <t>Специалист по УМР ПО</t>
  </si>
  <si>
    <t>МГЛУ им.Мориса Тореза</t>
  </si>
  <si>
    <t>Студия РуФилмс</t>
  </si>
  <si>
    <t>International university</t>
  </si>
  <si>
    <t>Китай</t>
  </si>
  <si>
    <t>Студия изучения английского языка Uknow (online) МОУ Гимназия "Логос"</t>
  </si>
  <si>
    <t>Учитель, специалист по работе с детьми</t>
  </si>
  <si>
    <t>Книжный магазин</t>
  </si>
  <si>
    <t>SMM-щик</t>
  </si>
  <si>
    <t>37.05.01 Клиническая психология</t>
  </si>
  <si>
    <t>Гимназия №8</t>
  </si>
  <si>
    <t>Педагог-психолог</t>
  </si>
  <si>
    <r>
      <t xml:space="preserve">ФГБУ </t>
    </r>
    <r>
      <rPr>
        <b/>
        <sz val="11"/>
        <color theme="1"/>
        <rFont val="Calibri"/>
        <family val="2"/>
        <charset val="204"/>
        <scheme val="minor"/>
      </rPr>
      <t>"</t>
    </r>
    <r>
      <rPr>
        <sz val="11"/>
        <color theme="1"/>
        <rFont val="Calibri"/>
        <family val="2"/>
        <scheme val="minor"/>
      </rPr>
      <t>ЦЭПП МЧС"</t>
    </r>
  </si>
  <si>
    <t>Психолог</t>
  </si>
  <si>
    <t>г. Санкт-Петербург</t>
  </si>
  <si>
    <t>ЦРР "Солнышко"</t>
  </si>
  <si>
    <t>Нейропсихолог</t>
  </si>
  <si>
    <t>ЧУ ВО МОСАП</t>
  </si>
  <si>
    <t>Тьютер</t>
  </si>
  <si>
    <t>г. Лениногорск Республика Татарстан</t>
  </si>
  <si>
    <t>ГАПОУ «Лениногорский политехнический колледж»</t>
  </si>
  <si>
    <t>Компания АРНИ</t>
  </si>
  <si>
    <t>Менеджер с обязанностями корпоративного психолога</t>
  </si>
  <si>
    <t>ГБУ "Дубненская больница"</t>
  </si>
  <si>
    <t>Медицинский психолог</t>
  </si>
  <si>
    <t>Менеджер с функциями психолога</t>
  </si>
  <si>
    <t xml:space="preserve"> </t>
  </si>
  <si>
    <t>г.Губкин Белгородская область</t>
  </si>
  <si>
    <t xml:space="preserve">МБУ «Комплексный центр социального обслуживания населения Губкинского городского округа», </t>
  </si>
  <si>
    <t>Психолог в социальной сфере</t>
  </si>
  <si>
    <t>г. Дмитров</t>
  </si>
  <si>
    <t>Психолог-консультант</t>
  </si>
  <si>
    <t>г. Астрахань</t>
  </si>
  <si>
    <t>Клинический психолог</t>
  </si>
  <si>
    <t>40.04.01 Юриспруденция</t>
  </si>
  <si>
    <t>Комитет по управлению имуществом г.Дубны</t>
  </si>
  <si>
    <t>Главный эксперт отдела аренды имущества</t>
  </si>
  <si>
    <t xml:space="preserve"> г. Кимры </t>
  </si>
  <si>
    <t xml:space="preserve">Кимрский городской суд Тверской области </t>
  </si>
  <si>
    <t>Министерство имущественных отношений МО</t>
  </si>
  <si>
    <t>Старший инспектор отдела учета показателей эффективности органов местного самоуправления</t>
  </si>
  <si>
    <t>Помощник председателя</t>
  </si>
  <si>
    <t>Эксперт Управления правового обеспечения отдела судебной и арбитражной практики</t>
  </si>
  <si>
    <t>Представительство Курганской области</t>
  </si>
  <si>
    <t>Госслужба</t>
  </si>
  <si>
    <t>Советник</t>
  </si>
  <si>
    <t>Риэлтор</t>
  </si>
  <si>
    <t>ИФНС 12 по Московской области</t>
  </si>
  <si>
    <t>Лингвистика</t>
  </si>
  <si>
    <t>РГСУ, г. Москва</t>
  </si>
  <si>
    <t>Кимрский медицинский колледж</t>
  </si>
  <si>
    <t>Преподаватель английского языка</t>
  </si>
  <si>
    <t>Челябинская обл., Сосновский р-он, п.Смолино</t>
  </si>
  <si>
    <t>Ленинградская область, г.Санкт-Петербург</t>
  </si>
  <si>
    <t xml:space="preserve"> Свердловская обл, г. Новоуральск</t>
  </si>
  <si>
    <t>Московская область, рп Запрудня</t>
  </si>
  <si>
    <t>Московская область, г. Лобня</t>
  </si>
  <si>
    <t>Продажи (вентиляция)</t>
  </si>
  <si>
    <t xml:space="preserve"> Московская область, д. Непейно</t>
  </si>
  <si>
    <t xml:space="preserve"> Комитет по управлению имуществом администрации Дмитровского муниципального округа МО</t>
  </si>
  <si>
    <t>Главный специалист отдела по распоряжению земельными участками</t>
  </si>
  <si>
    <t xml:space="preserve">142714, Московская область, д. Пригород Лесное </t>
  </si>
  <si>
    <t>Росрыболовство</t>
  </si>
  <si>
    <t>Советник директора</t>
  </si>
  <si>
    <t>Московская область, г.Котельники</t>
  </si>
  <si>
    <t>Очно-заочная</t>
  </si>
  <si>
    <t>Юриспруденция (ГП)</t>
  </si>
  <si>
    <t>г.Талдом</t>
  </si>
  <si>
    <t>ООО УК Загородная недвижимость</t>
  </si>
  <si>
    <t>Старший аниматор</t>
  </si>
  <si>
    <t>г. Конаково Тверская обл.</t>
  </si>
  <si>
    <t>ПАО ЭЛ5-Энерго филиал Конаковская ГРЭС</t>
  </si>
  <si>
    <t>Эколог</t>
  </si>
  <si>
    <t>нет</t>
  </si>
  <si>
    <t>Администрация Талдомского городского округа Московской области</t>
  </si>
  <si>
    <t>Юрист</t>
  </si>
  <si>
    <t>г.Электросталь</t>
  </si>
  <si>
    <t>Судебный участок мирового судьи №287 Электростальского судебного района Московской Области</t>
  </si>
  <si>
    <t>Мировой судья</t>
  </si>
  <si>
    <t>Кладовщик</t>
  </si>
  <si>
    <t>ОМВД по г.о. Дубна</t>
  </si>
  <si>
    <t>диспетчер ПДО</t>
  </si>
  <si>
    <t>ОАЭ</t>
  </si>
  <si>
    <t>Semicom DWC LLC</t>
  </si>
  <si>
    <t>Уральский федеральный университет имени первого президента России Б.Н. Ельцина</t>
  </si>
  <si>
    <t>г.Екатеринбург</t>
  </si>
  <si>
    <t xml:space="preserve">АСВ Фармация </t>
  </si>
  <si>
    <t>Программист, тендерный специалист</t>
  </si>
  <si>
    <t>Узбекистан</t>
  </si>
  <si>
    <t>г. Донецк</t>
  </si>
  <si>
    <t>ООО "Константа Смарт"</t>
  </si>
  <si>
    <t>Инженер компьютерных систем</t>
  </si>
  <si>
    <t xml:space="preserve">Диспетчер </t>
  </si>
  <si>
    <t>ТГТУ г.Тамбов</t>
  </si>
  <si>
    <t>г. Орехово-Зуево</t>
  </si>
  <si>
    <t>АО НВП "Болид"</t>
  </si>
  <si>
    <t>г.Ярославль</t>
  </si>
  <si>
    <t>Школа программирования Soft Skills</t>
  </si>
  <si>
    <t>Руководитель школы программирования</t>
  </si>
  <si>
    <t>ЗАО "НТЦ МИК-ИНФОРМ"</t>
  </si>
  <si>
    <t>Разработчик отдела разработки управления решений 1С</t>
  </si>
  <si>
    <t>Младший специалист в отделе закупок</t>
  </si>
  <si>
    <t>г.  Талдом</t>
  </si>
  <si>
    <t>ООО "Гостиный двор"</t>
  </si>
  <si>
    <t>Администратор</t>
  </si>
  <si>
    <t>Р</t>
  </si>
  <si>
    <t>РГСУ, г. Москва</t>
  </si>
  <si>
    <t>Моспромстрой</t>
  </si>
  <si>
    <t>МР</t>
  </si>
  <si>
    <t>Р</t>
  </si>
  <si>
    <t>Владелец пунктов выдачи заказов</t>
  </si>
  <si>
    <t>ОЭЗ</t>
  </si>
  <si>
    <t>Ювелирный магазин "Сапфир"</t>
  </si>
  <si>
    <t>Менеджер</t>
  </si>
  <si>
    <t>09.03.01 Информатика ивычислительная техника_ИВТ (ТРПО)</t>
  </si>
  <si>
    <t>09.03.01 Информатика ивычислительная техника_ИВТ (СИ)</t>
  </si>
  <si>
    <t>09.03.02 Информационные системы и технологии_ИСТ (БИС)</t>
  </si>
  <si>
    <t>09.03.02 Информационные системы и технологии_ИСТ (ГСиТ)</t>
  </si>
  <si>
    <t>09.03.03 Прикладная информатика_ПИ(ПИвУКС)</t>
  </si>
  <si>
    <t>09.03.03 Прикладная информатика_ПИ(ПИвКД)</t>
  </si>
  <si>
    <t>38.03.01 Экономика_цифровая экономика</t>
  </si>
  <si>
    <t>01.04.02 Прикладная математика и информатика_(ММиАД)</t>
  </si>
  <si>
    <t>09.04.03 Прикладная информатика_(ИИвСУ)</t>
  </si>
  <si>
    <t>09.04.03 Прикладная информатика_(ИИвЦЭ)</t>
  </si>
  <si>
    <t>27.04.03 Системный анализ и управление_(ИТвУЦП)</t>
  </si>
  <si>
    <t>27.04.03 Системный анализ и управление_(ЦПиАБД)</t>
  </si>
  <si>
    <t>27.04.03 Системный анализ и управление_(БАиИАД)</t>
  </si>
  <si>
    <t>27.04.03 Системный анализ и управление_(ГТвУСС)</t>
  </si>
  <si>
    <t>03.04.02 Физика_(ФЯиЭЧ)</t>
  </si>
  <si>
    <t>03.04.02 Физика_(ЭиАФУ)</t>
  </si>
  <si>
    <t>11.04.03 Конструирование и технология элекиронных средств_(ПЭС)</t>
  </si>
  <si>
    <t>11.04.03 Конструирование и технология элекиронных средств_(ПЭ для М)</t>
  </si>
  <si>
    <t>05.03.06 Экология и природопользование_(Геоэкология)</t>
  </si>
  <si>
    <t>05.03.06 Экология и природопользование_(Экология)</t>
  </si>
  <si>
    <t>14.03.02 Ядерные физика и технологии_(Радиобиология)</t>
  </si>
  <si>
    <t>03.04.02 Физика_(МР)</t>
  </si>
  <si>
    <t>03.04.02 Физика_(ФФМиН)</t>
  </si>
  <si>
    <t>40.03.01 Юриспруденция_(ГП)</t>
  </si>
  <si>
    <t>40.03.01 Юриспруденция_(УП)</t>
  </si>
  <si>
    <t>45.03.02 Лингвистика_(ФЯ)</t>
  </si>
  <si>
    <t>45.03.02 Лингвистика_(НЯ)</t>
  </si>
  <si>
    <t>СЗ</t>
  </si>
  <si>
    <t>ИСАУ</t>
  </si>
  <si>
    <t>ИФИ</t>
  </si>
  <si>
    <t>ФЕИН</t>
  </si>
  <si>
    <t>ФСГН</t>
  </si>
  <si>
    <t>14.03.02 Ядерные физика и технологии_ЭиАФУ</t>
  </si>
  <si>
    <t>МИИТг. Москва</t>
  </si>
  <si>
    <t>Строительная компания</t>
  </si>
  <si>
    <t>02.03.02 Фундаментальная информатика и информационные технологии (Сетевые технологии)</t>
  </si>
  <si>
    <t>НР (домохозяйка, не планирует работать)</t>
  </si>
  <si>
    <t>ВНИИА Росатом</t>
  </si>
  <si>
    <t>14.03.02 Ядерные физика и технологии_ФЯРНЭ</t>
  </si>
  <si>
    <t xml:space="preserve"> инженер </t>
  </si>
  <si>
    <t>ОЭЗ, РОСАТОМ</t>
  </si>
  <si>
    <t>ОЭЗ, IT</t>
  </si>
  <si>
    <t>здравоохранение</t>
  </si>
  <si>
    <t>АО "АтомСпецПроект" (входит в состав Корпорации «ПРОМТЕХ»)</t>
  </si>
  <si>
    <t>Администрацияг.о. Дубна МО</t>
  </si>
  <si>
    <t>университет, образование</t>
  </si>
  <si>
    <t>Администарция</t>
  </si>
  <si>
    <t>АО «ОЭЗ «ТВТ «Дубна»</t>
  </si>
  <si>
    <t>ОИЯИ, ЛИТ</t>
  </si>
  <si>
    <t>Лаблоант</t>
  </si>
  <si>
    <t xml:space="preserve">ОИЯИ, ЛНФ </t>
  </si>
  <si>
    <t>ОИЯИ, ЛЯП</t>
  </si>
  <si>
    <t>ОИЯИ, ЛФВЭ</t>
  </si>
  <si>
    <t>ОИЯИ,ЛФВЭ</t>
  </si>
  <si>
    <t>ОИЯИ , ЛРБ</t>
  </si>
  <si>
    <t>ОИЯИ , ЛИТ</t>
  </si>
  <si>
    <t>Специалист, переводчик</t>
  </si>
  <si>
    <t>ОИЯИ, Управление/ДНОД/Административная группа</t>
  </si>
  <si>
    <t>ОИЯИ, Управление/ДепМС</t>
  </si>
  <si>
    <t>А</t>
  </si>
  <si>
    <t>г. Сочи, Краснодарский край</t>
  </si>
  <si>
    <t>Университет "Сириус"</t>
  </si>
  <si>
    <t>ОИЯИ, ЛВФЭ</t>
  </si>
  <si>
    <t>магистратура ВГТУ (Воронеж) заочно, ШИП (Дубна)</t>
  </si>
  <si>
    <t>Гимназия №3</t>
  </si>
  <si>
    <t>образование</t>
  </si>
  <si>
    <t>учитель математики</t>
  </si>
  <si>
    <t>Дубна</t>
  </si>
  <si>
    <t>г. Домодедово</t>
  </si>
  <si>
    <t>Начальник производства</t>
  </si>
  <si>
    <t>газета "Встреча"</t>
  </si>
  <si>
    <t>менеджер</t>
  </si>
  <si>
    <t>Ядро Фаб Дубна</t>
  </si>
  <si>
    <t>Самозанятая</t>
  </si>
  <si>
    <t>МФЦ</t>
  </si>
  <si>
    <t>Главный специалист</t>
  </si>
  <si>
    <t>Специалист по персоналу</t>
  </si>
  <si>
    <t>Менеджер по подбору персонала</t>
  </si>
  <si>
    <t>Славяно-греко-римская академия</t>
  </si>
  <si>
    <t>г.Серпухов</t>
  </si>
  <si>
    <t>лаборант по физико-механическим испытаниям</t>
  </si>
  <si>
    <t>г.Запрудня</t>
  </si>
  <si>
    <t>инспектор по кадрам</t>
  </si>
  <si>
    <t>инженер</t>
  </si>
  <si>
    <t>МЧС</t>
  </si>
  <si>
    <t>отдел кадров</t>
  </si>
  <si>
    <t>МВД</t>
  </si>
  <si>
    <t>ИФИ г. Москва</t>
  </si>
  <si>
    <t>Направление</t>
  </si>
  <si>
    <t>Трудоустроились</t>
  </si>
  <si>
    <t>Количество выпускников</t>
  </si>
  <si>
    <t>Факультет</t>
  </si>
  <si>
    <t>Нет данных</t>
  </si>
  <si>
    <t>09.03.01 Информатика и вычислительная техника_ИВТ (СИ)</t>
  </si>
  <si>
    <t>09.03.01 Информатика и вычислительная техника_ИВТ (ТРПО)</t>
  </si>
  <si>
    <t>Программы Бакалавриата:</t>
  </si>
  <si>
    <t>Программы Специалитета:</t>
  </si>
  <si>
    <t>Программы Магистратуры:</t>
  </si>
  <si>
    <t>ИТОГО:</t>
  </si>
  <si>
    <t>Итоги по направлениям обучения</t>
  </si>
  <si>
    <t>Трудоустроились и продолжают обучение</t>
  </si>
  <si>
    <t>Продолжили обучение</t>
  </si>
  <si>
    <t>Итоги:</t>
  </si>
  <si>
    <t>Итоги по факультетам</t>
  </si>
  <si>
    <t>Процент трудоустройства</t>
  </si>
  <si>
    <t>ООО "ПСК Фарма"</t>
  </si>
  <si>
    <t>наука</t>
  </si>
  <si>
    <t>ООО "ИТ-решения"</t>
  </si>
  <si>
    <t>ОПК, ОЭЗ, Росатом</t>
  </si>
  <si>
    <t xml:space="preserve">университет, образование </t>
  </si>
  <si>
    <t>Управляющая заведением общепита</t>
  </si>
  <si>
    <t>Специалист по поддержке питания</t>
  </si>
  <si>
    <t>Не трудоустроены</t>
  </si>
  <si>
    <t>НР проходит лечение</t>
  </si>
  <si>
    <r>
      <rPr>
        <b/>
        <sz val="11"/>
        <color theme="1"/>
        <rFont val="Calibri"/>
        <family val="2"/>
        <charset val="204"/>
        <scheme val="minor"/>
      </rPr>
      <t>НР (</t>
    </r>
    <r>
      <rPr>
        <sz val="11"/>
        <color theme="1"/>
        <rFont val="Calibri"/>
        <family val="2"/>
        <scheme val="minor"/>
      </rPr>
      <t>проходит вст. исп-я в ВШЭ 06.10.25)</t>
    </r>
  </si>
  <si>
    <t>НР (проходит курсы повышения квалификации)</t>
  </si>
  <si>
    <t>ООО "Ядро Фаб Дубна"</t>
  </si>
  <si>
    <t>Росатом</t>
  </si>
  <si>
    <t>ОПК, Росатом</t>
  </si>
  <si>
    <t>ПАО "ВТБ"</t>
  </si>
  <si>
    <t>ООО "Рубис"</t>
  </si>
  <si>
    <t>Администрация г.о. Дубна МО</t>
  </si>
  <si>
    <t>Эксперт</t>
  </si>
  <si>
    <t>Digital агенство Redbee</t>
  </si>
  <si>
    <t>Агентство "Этажи"</t>
  </si>
  <si>
    <t>Р (СЗ)</t>
  </si>
  <si>
    <t>Занятые (все, кроме нетрудоустроенных и нет данных)</t>
  </si>
  <si>
    <t>Процент занятых</t>
  </si>
  <si>
    <t>Факультеты</t>
  </si>
  <si>
    <t>договорник, инвалид</t>
  </si>
  <si>
    <t>МО, инвалид</t>
  </si>
  <si>
    <t>Факультет/ИФакультет/Институтнститут</t>
  </si>
  <si>
    <t>ОЧНО-ЗАОЧНАЯ ФОРМА ОБУЧЕНИЯ   40.03.01 Юриспруденция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</si>
</sst>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2"/>
      <color rgb="FF22222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434343"/>
      <name val="Times New Roman"/>
      <family val="1"/>
      <charset val="204"/>
    </font>
    <font>
      <b/>
      <sz val="12"/>
      <color rgb="FF434343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293">
    <xf numFmtId="0" fontId="0" fillId="0" borderId="0" xfId="0"/>
    <xf numFmtId="9" fontId="0" fillId="0" borderId="3" xfId="1" applyFont="1" applyFill="1" applyBorder="1" applyAlignment="1">
      <alignment vertical="distributed"/>
    </xf>
    <xf numFmtId="9" fontId="0" fillId="0" borderId="3" xfId="1" applyFont="1" applyFill="1" applyBorder="1"/>
    <xf numFmtId="9" fontId="7" fillId="0" borderId="3" xfId="1" applyFont="1" applyFill="1" applyBorder="1"/>
    <xf numFmtId="9" fontId="7" fillId="0" borderId="3" xfId="1" applyFont="1" applyFill="1" applyBorder="1" applyAlignment="1">
      <alignment vertical="distributed"/>
    </xf>
    <xf numFmtId="0" fontId="0" fillId="0" borderId="3" xfId="0" applyFill="1" applyBorder="1"/>
    <xf numFmtId="9" fontId="5" fillId="0" borderId="3" xfId="1" applyFont="1" applyFill="1" applyBorder="1"/>
    <xf numFmtId="0" fontId="0" fillId="0" borderId="3" xfId="0" applyFill="1" applyBorder="1" applyAlignment="1">
      <alignment vertical="distributed" wrapText="1"/>
    </xf>
    <xf numFmtId="0" fontId="0" fillId="12" borderId="3" xfId="0" applyFill="1" applyBorder="1" applyAlignment="1">
      <alignment horizontal="center"/>
    </xf>
    <xf numFmtId="0" fontId="0" fillId="12" borderId="3" xfId="0" applyFill="1" applyBorder="1"/>
    <xf numFmtId="0" fontId="5" fillId="12" borderId="3" xfId="0" applyFont="1" applyFill="1" applyBorder="1"/>
    <xf numFmtId="0" fontId="7" fillId="12" borderId="3" xfId="0" applyFont="1" applyFill="1" applyBorder="1"/>
    <xf numFmtId="0" fontId="0" fillId="12" borderId="3" xfId="0" applyFill="1" applyBorder="1" applyAlignment="1">
      <alignment vertical="distributed"/>
    </xf>
    <xf numFmtId="0" fontId="5" fillId="12" borderId="3" xfId="0" applyFont="1" applyFill="1" applyBorder="1" applyAlignment="1">
      <alignment vertical="distributed"/>
    </xf>
    <xf numFmtId="0" fontId="0" fillId="13" borderId="3" xfId="0" applyFill="1" applyBorder="1" applyAlignment="1">
      <alignment horizontal="center"/>
    </xf>
    <xf numFmtId="0" fontId="0" fillId="13" borderId="3" xfId="0" applyFill="1" applyBorder="1"/>
    <xf numFmtId="0" fontId="0" fillId="13" borderId="3" xfId="0" applyFill="1" applyBorder="1" applyAlignment="1">
      <alignment horizontal="left"/>
    </xf>
    <xf numFmtId="0" fontId="5" fillId="13" borderId="3" xfId="0" applyFont="1" applyFill="1" applyBorder="1"/>
    <xf numFmtId="0" fontId="7" fillId="13" borderId="3" xfId="0" applyFont="1" applyFill="1" applyBorder="1"/>
    <xf numFmtId="0" fontId="7" fillId="13" borderId="3" xfId="0" applyFont="1" applyFill="1" applyBorder="1" applyAlignment="1">
      <alignment vertical="distributed"/>
    </xf>
    <xf numFmtId="0" fontId="0" fillId="13" borderId="3" xfId="0" applyFill="1" applyBorder="1" applyAlignment="1">
      <alignment vertical="distributed"/>
    </xf>
    <xf numFmtId="0" fontId="7" fillId="12" borderId="3" xfId="0" applyFont="1" applyFill="1" applyBorder="1" applyAlignment="1">
      <alignment vertical="distributed"/>
    </xf>
    <xf numFmtId="0" fontId="0" fillId="12" borderId="3" xfId="0" applyFill="1" applyBorder="1" applyAlignment="1">
      <alignment vertical="distributed" wrapText="1"/>
    </xf>
    <xf numFmtId="0" fontId="0" fillId="13" borderId="3" xfId="0" applyFill="1" applyBorder="1" applyAlignment="1">
      <alignment vertical="distributed" wrapText="1"/>
    </xf>
    <xf numFmtId="0" fontId="0" fillId="13" borderId="3" xfId="0" applyFill="1" applyBorder="1" applyAlignment="1">
      <alignment horizontal="left" vertical="distributed"/>
    </xf>
    <xf numFmtId="0" fontId="0" fillId="13" borderId="3" xfId="0" applyFill="1" applyBorder="1" applyAlignment="1">
      <alignment horizontal="center" vertical="distributed" wrapText="1"/>
    </xf>
    <xf numFmtId="0" fontId="0" fillId="10" borderId="3" xfId="0" applyFill="1" applyBorder="1" applyAlignment="1">
      <alignment horizontal="center"/>
    </xf>
    <xf numFmtId="0" fontId="0" fillId="10" borderId="3" xfId="0" applyFill="1" applyBorder="1"/>
    <xf numFmtId="0" fontId="0" fillId="10" borderId="3" xfId="0" applyFill="1" applyBorder="1" applyAlignment="1">
      <alignment vertical="distributed"/>
    </xf>
    <xf numFmtId="0" fontId="7" fillId="10" borderId="3" xfId="0" applyFont="1" applyFill="1" applyBorder="1"/>
    <xf numFmtId="0" fontId="0" fillId="10" borderId="3" xfId="0" applyFill="1" applyBorder="1" applyAlignment="1">
      <alignment horizontal="left"/>
    </xf>
    <xf numFmtId="0" fontId="0" fillId="14" borderId="3" xfId="0" applyFill="1" applyBorder="1"/>
    <xf numFmtId="0" fontId="0" fillId="12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9" fontId="0" fillId="12" borderId="3" xfId="1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9" fontId="0" fillId="13" borderId="3" xfId="1" applyFont="1" applyFill="1" applyBorder="1" applyAlignment="1">
      <alignment horizontal="center" vertical="center"/>
    </xf>
    <xf numFmtId="0" fontId="5" fillId="14" borderId="3" xfId="0" applyFont="1" applyFill="1" applyBorder="1"/>
    <xf numFmtId="0" fontId="0" fillId="0" borderId="3" xfId="0" applyFill="1" applyBorder="1" applyAlignment="1">
      <alignment horizontal="center"/>
    </xf>
    <xf numFmtId="0" fontId="5" fillId="0" borderId="3" xfId="0" applyFont="1" applyFill="1" applyBorder="1" applyAlignment="1">
      <alignment vertical="distributed"/>
    </xf>
    <xf numFmtId="0" fontId="7" fillId="0" borderId="3" xfId="0" applyFont="1" applyFill="1" applyBorder="1"/>
    <xf numFmtId="0" fontId="0" fillId="0" borderId="3" xfId="0" applyFill="1" applyBorder="1" applyAlignment="1">
      <alignment vertical="distributed"/>
    </xf>
    <xf numFmtId="0" fontId="5" fillId="0" borderId="3" xfId="0" applyFont="1" applyFill="1" applyBorder="1"/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 vertical="center"/>
    </xf>
    <xf numFmtId="0" fontId="7" fillId="0" borderId="3" xfId="0" applyFont="1" applyFill="1" applyBorder="1" applyAlignment="1">
      <alignment vertical="distributed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distributed" wrapText="1"/>
    </xf>
    <xf numFmtId="0" fontId="10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12" fillId="6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0" fontId="12" fillId="14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11" borderId="3" xfId="0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12" borderId="3" xfId="0" applyFill="1" applyBorder="1" applyAlignment="1"/>
    <xf numFmtId="0" fontId="0" fillId="13" borderId="3" xfId="0" applyFill="1" applyBorder="1" applyAlignment="1"/>
    <xf numFmtId="0" fontId="0" fillId="0" borderId="3" xfId="0" applyFill="1" applyBorder="1" applyAlignment="1"/>
    <xf numFmtId="0" fontId="0" fillId="10" borderId="3" xfId="0" applyFill="1" applyBorder="1" applyAlignment="1"/>
    <xf numFmtId="9" fontId="0" fillId="0" borderId="3" xfId="1" applyFont="1" applyFill="1" applyBorder="1" applyAlignment="1"/>
    <xf numFmtId="0" fontId="0" fillId="0" borderId="3" xfId="0" applyFill="1" applyBorder="1" applyAlignment="1">
      <alignment horizontal="center" vertical="distributed" wrapText="1"/>
    </xf>
    <xf numFmtId="0" fontId="0" fillId="0" borderId="3" xfId="0" applyFill="1" applyBorder="1" applyAlignment="1">
      <alignment horizontal="left" vertical="distributed" wrapText="1"/>
    </xf>
    <xf numFmtId="0" fontId="0" fillId="16" borderId="10" xfId="0" applyFill="1" applyBorder="1"/>
    <xf numFmtId="0" fontId="0" fillId="0" borderId="0" xfId="0" applyFill="1"/>
    <xf numFmtId="0" fontId="0" fillId="16" borderId="3" xfId="0" applyFill="1" applyBorder="1"/>
    <xf numFmtId="0" fontId="5" fillId="16" borderId="3" xfId="0" applyFont="1" applyFill="1" applyBorder="1"/>
    <xf numFmtId="0" fontId="7" fillId="15" borderId="19" xfId="0" applyFont="1" applyFill="1" applyBorder="1"/>
    <xf numFmtId="0" fontId="0" fillId="15" borderId="21" xfId="0" applyFill="1" applyBorder="1"/>
    <xf numFmtId="0" fontId="0" fillId="15" borderId="22" xfId="0" applyFill="1" applyBorder="1"/>
    <xf numFmtId="10" fontId="7" fillId="15" borderId="23" xfId="0" applyNumberFormat="1" applyFont="1" applyFill="1" applyBorder="1"/>
    <xf numFmtId="0" fontId="0" fillId="15" borderId="19" xfId="0" applyFill="1" applyBorder="1"/>
    <xf numFmtId="0" fontId="7" fillId="15" borderId="21" xfId="0" applyFont="1" applyFill="1" applyBorder="1"/>
    <xf numFmtId="0" fontId="7" fillId="15" borderId="22" xfId="0" applyFont="1" applyFill="1" applyBorder="1"/>
    <xf numFmtId="0" fontId="0" fillId="14" borderId="10" xfId="0" applyFill="1" applyBorder="1"/>
    <xf numFmtId="0" fontId="3" fillId="14" borderId="3" xfId="0" applyFont="1" applyFill="1" applyBorder="1"/>
    <xf numFmtId="0" fontId="0" fillId="14" borderId="4" xfId="0" applyFill="1" applyBorder="1"/>
    <xf numFmtId="0" fontId="0" fillId="14" borderId="16" xfId="0" applyFill="1" applyBorder="1"/>
    <xf numFmtId="0" fontId="0" fillId="7" borderId="8" xfId="0" applyFill="1" applyBorder="1"/>
    <xf numFmtId="0" fontId="0" fillId="7" borderId="15" xfId="0" applyFill="1" applyBorder="1"/>
    <xf numFmtId="0" fontId="0" fillId="7" borderId="3" xfId="0" applyFill="1" applyBorder="1"/>
    <xf numFmtId="0" fontId="0" fillId="7" borderId="10" xfId="0" applyFill="1" applyBorder="1"/>
    <xf numFmtId="0" fontId="0" fillId="7" borderId="3" xfId="0" applyFill="1" applyBorder="1" applyAlignment="1">
      <alignment vertical="distributed" wrapText="1"/>
    </xf>
    <xf numFmtId="0" fontId="0" fillId="7" borderId="4" xfId="0" applyFill="1" applyBorder="1" applyAlignment="1">
      <alignment vertical="distributed" wrapText="1"/>
    </xf>
    <xf numFmtId="0" fontId="0" fillId="7" borderId="4" xfId="0" applyFill="1" applyBorder="1"/>
    <xf numFmtId="0" fontId="0" fillId="7" borderId="16" xfId="0" applyFill="1" applyBorder="1"/>
    <xf numFmtId="9" fontId="2" fillId="21" borderId="8" xfId="1" applyFont="1" applyFill="1" applyBorder="1"/>
    <xf numFmtId="0" fontId="0" fillId="21" borderId="8" xfId="0" applyFill="1" applyBorder="1"/>
    <xf numFmtId="0" fontId="0" fillId="21" borderId="15" xfId="0" applyFill="1" applyBorder="1"/>
    <xf numFmtId="0" fontId="2" fillId="21" borderId="3" xfId="0" applyFont="1" applyFill="1" applyBorder="1"/>
    <xf numFmtId="0" fontId="0" fillId="21" borderId="3" xfId="0" applyFill="1" applyBorder="1"/>
    <xf numFmtId="0" fontId="0" fillId="21" borderId="10" xfId="0" applyFill="1" applyBorder="1"/>
    <xf numFmtId="0" fontId="5" fillId="21" borderId="3" xfId="0" applyFont="1" applyFill="1" applyBorder="1" applyAlignment="1">
      <alignment vertical="distributed"/>
    </xf>
    <xf numFmtId="0" fontId="2" fillId="21" borderId="3" xfId="0" applyFont="1" applyFill="1" applyBorder="1" applyAlignment="1">
      <alignment vertical="distributed"/>
    </xf>
    <xf numFmtId="0" fontId="2" fillId="21" borderId="4" xfId="0" applyFont="1" applyFill="1" applyBorder="1" applyAlignment="1">
      <alignment vertical="distributed"/>
    </xf>
    <xf numFmtId="0" fontId="0" fillId="21" borderId="4" xfId="0" applyFill="1" applyBorder="1"/>
    <xf numFmtId="0" fontId="0" fillId="21" borderId="16" xfId="0" applyFill="1" applyBorder="1"/>
    <xf numFmtId="0" fontId="0" fillId="18" borderId="8" xfId="0" applyFill="1" applyBorder="1"/>
    <xf numFmtId="0" fontId="0" fillId="18" borderId="15" xfId="0" applyFill="1" applyBorder="1"/>
    <xf numFmtId="0" fontId="0" fillId="18" borderId="3" xfId="0" applyFill="1" applyBorder="1"/>
    <xf numFmtId="0" fontId="0" fillId="18" borderId="10" xfId="0" applyFill="1" applyBorder="1"/>
    <xf numFmtId="0" fontId="0" fillId="18" borderId="4" xfId="0" applyFill="1" applyBorder="1"/>
    <xf numFmtId="0" fontId="0" fillId="18" borderId="16" xfId="0" applyFill="1" applyBorder="1"/>
    <xf numFmtId="10" fontId="20" fillId="19" borderId="12" xfId="0" applyNumberFormat="1" applyFont="1" applyFill="1" applyBorder="1"/>
    <xf numFmtId="10" fontId="20" fillId="19" borderId="13" xfId="0" applyNumberFormat="1" applyFont="1" applyFill="1" applyBorder="1"/>
    <xf numFmtId="10" fontId="20" fillId="15" borderId="20" xfId="0" applyNumberFormat="1" applyFont="1" applyFill="1" applyBorder="1"/>
    <xf numFmtId="0" fontId="21" fillId="15" borderId="23" xfId="0" applyFont="1" applyFill="1" applyBorder="1"/>
    <xf numFmtId="10" fontId="20" fillId="20" borderId="25" xfId="0" applyNumberFormat="1" applyFont="1" applyFill="1" applyBorder="1"/>
    <xf numFmtId="10" fontId="20" fillId="20" borderId="13" xfId="0" applyNumberFormat="1" applyFont="1" applyFill="1" applyBorder="1"/>
    <xf numFmtId="10" fontId="20" fillId="20" borderId="24" xfId="0" applyNumberFormat="1" applyFont="1" applyFill="1" applyBorder="1"/>
    <xf numFmtId="10" fontId="20" fillId="22" borderId="25" xfId="0" applyNumberFormat="1" applyFont="1" applyFill="1" applyBorder="1"/>
    <xf numFmtId="10" fontId="20" fillId="22" borderId="13" xfId="0" applyNumberFormat="1" applyFont="1" applyFill="1" applyBorder="1"/>
    <xf numFmtId="10" fontId="20" fillId="22" borderId="24" xfId="0" applyNumberFormat="1" applyFont="1" applyFill="1" applyBorder="1"/>
    <xf numFmtId="10" fontId="20" fillId="15" borderId="23" xfId="0" applyNumberFormat="1" applyFont="1" applyFill="1" applyBorder="1"/>
    <xf numFmtId="10" fontId="21" fillId="23" borderId="12" xfId="0" applyNumberFormat="1" applyFont="1" applyFill="1" applyBorder="1"/>
    <xf numFmtId="10" fontId="21" fillId="23" borderId="13" xfId="0" applyNumberFormat="1" applyFont="1" applyFill="1" applyBorder="1"/>
    <xf numFmtId="10" fontId="21" fillId="23" borderId="14" xfId="0" applyNumberFormat="1" applyFont="1" applyFill="1" applyBorder="1"/>
    <xf numFmtId="0" fontId="22" fillId="16" borderId="9" xfId="0" applyFont="1" applyFill="1" applyBorder="1"/>
    <xf numFmtId="0" fontId="23" fillId="16" borderId="7" xfId="0" applyFont="1" applyFill="1" applyBorder="1" applyAlignment="1">
      <alignment vertical="center"/>
    </xf>
    <xf numFmtId="0" fontId="22" fillId="16" borderId="7" xfId="0" applyFont="1" applyFill="1" applyBorder="1" applyAlignment="1">
      <alignment vertical="center"/>
    </xf>
    <xf numFmtId="0" fontId="0" fillId="14" borderId="15" xfId="0" applyFill="1" applyBorder="1"/>
    <xf numFmtId="0" fontId="22" fillId="16" borderId="17" xfId="0" applyFont="1" applyFill="1" applyBorder="1" applyAlignment="1">
      <alignment vertical="center"/>
    </xf>
    <xf numFmtId="10" fontId="20" fillId="19" borderId="14" xfId="0" applyNumberFormat="1" applyFont="1" applyFill="1" applyBorder="1"/>
    <xf numFmtId="0" fontId="22" fillId="16" borderId="26" xfId="0" applyFont="1" applyFill="1" applyBorder="1" applyAlignment="1">
      <alignment vertical="center"/>
    </xf>
    <xf numFmtId="0" fontId="19" fillId="15" borderId="18" xfId="0" applyFont="1" applyFill="1" applyBorder="1"/>
    <xf numFmtId="0" fontId="18" fillId="15" borderId="19" xfId="0" applyFont="1" applyFill="1" applyBorder="1"/>
    <xf numFmtId="0" fontId="0" fillId="0" borderId="0" xfId="0" applyFill="1" applyBorder="1"/>
    <xf numFmtId="10" fontId="7" fillId="0" borderId="0" xfId="0" applyNumberFormat="1" applyFont="1" applyFill="1" applyBorder="1"/>
    <xf numFmtId="0" fontId="0" fillId="7" borderId="3" xfId="0" applyFill="1" applyBorder="1" applyAlignment="1">
      <alignment horizontal="center" vertical="center"/>
    </xf>
    <xf numFmtId="0" fontId="2" fillId="16" borderId="3" xfId="0" applyFont="1" applyFill="1" applyBorder="1"/>
    <xf numFmtId="0" fontId="0" fillId="16" borderId="3" xfId="0" applyFill="1" applyBorder="1" applyAlignment="1">
      <alignment vertical="distributed" wrapText="1"/>
    </xf>
    <xf numFmtId="10" fontId="0" fillId="19" borderId="12" xfId="0" applyNumberFormat="1" applyFill="1" applyBorder="1"/>
    <xf numFmtId="10" fontId="0" fillId="19" borderId="13" xfId="0" applyNumberFormat="1" applyFill="1" applyBorder="1"/>
    <xf numFmtId="10" fontId="0" fillId="19" borderId="14" xfId="0" applyNumberFormat="1" applyFill="1" applyBorder="1"/>
    <xf numFmtId="10" fontId="0" fillId="20" borderId="11" xfId="0" applyNumberFormat="1" applyFill="1" applyBorder="1"/>
    <xf numFmtId="10" fontId="0" fillId="17" borderId="12" xfId="0" applyNumberFormat="1" applyFill="1" applyBorder="1"/>
    <xf numFmtId="10" fontId="0" fillId="17" borderId="13" xfId="0" applyNumberFormat="1" applyFill="1" applyBorder="1"/>
    <xf numFmtId="10" fontId="0" fillId="17" borderId="14" xfId="0" applyNumberFormat="1" applyFill="1" applyBorder="1"/>
    <xf numFmtId="0" fontId="0" fillId="18" borderId="3" xfId="0" applyFill="1" applyBorder="1" applyAlignment="1">
      <alignment horizontal="center" vertical="center"/>
    </xf>
    <xf numFmtId="10" fontId="0" fillId="23" borderId="11" xfId="0" applyNumberFormat="1" applyFill="1" applyBorder="1"/>
    <xf numFmtId="0" fontId="0" fillId="18" borderId="6" xfId="0" applyFill="1" applyBorder="1" applyAlignment="1"/>
    <xf numFmtId="0" fontId="0" fillId="18" borderId="4" xfId="0" applyFill="1" applyBorder="1" applyAlignment="1">
      <alignment vertical="distributed"/>
    </xf>
    <xf numFmtId="10" fontId="16" fillId="23" borderId="14" xfId="0" applyNumberFormat="1" applyFont="1" applyFill="1" applyBorder="1"/>
    <xf numFmtId="0" fontId="0" fillId="0" borderId="3" xfId="0" applyFill="1" applyBorder="1" applyAlignment="1">
      <alignment horizontal="left" vertical="distributed"/>
    </xf>
    <xf numFmtId="0" fontId="0" fillId="13" borderId="3" xfId="0" applyFill="1" applyBorder="1" applyAlignment="1">
      <alignment horizontal="left" vertical="distributed" wrapText="1"/>
    </xf>
    <xf numFmtId="0" fontId="0" fillId="0" borderId="5" xfId="0" applyFill="1" applyBorder="1" applyAlignment="1">
      <alignment vertical="distributed"/>
    </xf>
    <xf numFmtId="0" fontId="0" fillId="0" borderId="3" xfId="0" applyFill="1" applyBorder="1" applyAlignment="1">
      <alignment horizontal="center" vertical="distributed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/>
    <xf numFmtId="0" fontId="1" fillId="0" borderId="3" xfId="0" applyFont="1" applyFill="1" applyBorder="1" applyAlignment="1"/>
    <xf numFmtId="0" fontId="1" fillId="0" borderId="3" xfId="0" applyFont="1" applyFill="1" applyBorder="1" applyAlignment="1">
      <alignment horizontal="left" vertical="distributed"/>
    </xf>
    <xf numFmtId="0" fontId="1" fillId="0" borderId="3" xfId="0" applyFont="1" applyFill="1" applyBorder="1" applyAlignment="1">
      <alignment vertical="distributed"/>
    </xf>
    <xf numFmtId="0" fontId="15" fillId="0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vertical="distributed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distributed"/>
    </xf>
    <xf numFmtId="0" fontId="15" fillId="0" borderId="3" xfId="0" applyFont="1" applyFill="1" applyBorder="1" applyAlignment="1">
      <alignment horizontal="left" vertical="distributed"/>
    </xf>
    <xf numFmtId="0" fontId="8" fillId="0" borderId="3" xfId="0" applyFont="1" applyFill="1" applyBorder="1" applyAlignment="1">
      <alignment horizontal="left"/>
    </xf>
    <xf numFmtId="0" fontId="6" fillId="0" borderId="3" xfId="0" applyFont="1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/>
    <xf numFmtId="0" fontId="0" fillId="24" borderId="3" xfId="0" applyFill="1" applyBorder="1" applyAlignment="1">
      <alignment horizontal="center"/>
    </xf>
    <xf numFmtId="0" fontId="0" fillId="24" borderId="3" xfId="0" applyFill="1" applyBorder="1"/>
    <xf numFmtId="0" fontId="0" fillId="24" borderId="3" xfId="0" applyFill="1" applyBorder="1" applyAlignment="1"/>
    <xf numFmtId="0" fontId="0" fillId="24" borderId="3" xfId="0" applyFill="1" applyBorder="1" applyAlignment="1">
      <alignment horizontal="center" vertical="center"/>
    </xf>
    <xf numFmtId="0" fontId="5" fillId="24" borderId="3" xfId="0" applyFont="1" applyFill="1" applyBorder="1"/>
    <xf numFmtId="0" fontId="7" fillId="24" borderId="3" xfId="0" applyFont="1" applyFill="1" applyBorder="1"/>
    <xf numFmtId="0" fontId="0" fillId="24" borderId="3" xfId="0" applyFill="1" applyBorder="1" applyAlignment="1">
      <alignment vertical="distributed"/>
    </xf>
    <xf numFmtId="9" fontId="0" fillId="24" borderId="3" xfId="1" applyFont="1" applyFill="1" applyBorder="1" applyAlignment="1">
      <alignment horizontal="center" vertical="center"/>
    </xf>
    <xf numFmtId="0" fontId="7" fillId="24" borderId="3" xfId="0" applyFont="1" applyFill="1" applyBorder="1" applyAlignment="1">
      <alignment vertical="distributed"/>
    </xf>
    <xf numFmtId="0" fontId="0" fillId="24" borderId="3" xfId="0" applyFill="1" applyBorder="1" applyAlignment="1">
      <alignment vertical="distributed" wrapText="1"/>
    </xf>
    <xf numFmtId="0" fontId="0" fillId="24" borderId="3" xfId="0" applyFill="1" applyBorder="1" applyAlignment="1">
      <alignment horizontal="center" vertical="center" wrapText="1"/>
    </xf>
    <xf numFmtId="9" fontId="0" fillId="12" borderId="3" xfId="1" applyFont="1" applyFill="1" applyBorder="1"/>
    <xf numFmtId="9" fontId="0" fillId="12" borderId="3" xfId="1" applyFont="1" applyFill="1" applyBorder="1" applyAlignment="1"/>
    <xf numFmtId="9" fontId="5" fillId="12" borderId="3" xfId="1" applyFont="1" applyFill="1" applyBorder="1"/>
    <xf numFmtId="9" fontId="7" fillId="12" borderId="3" xfId="1" applyFont="1" applyFill="1" applyBorder="1"/>
    <xf numFmtId="0" fontId="1" fillId="24" borderId="3" xfId="0" applyFont="1" applyFill="1" applyBorder="1" applyAlignment="1">
      <alignment vertical="distributed"/>
    </xf>
    <xf numFmtId="0" fontId="0" fillId="24" borderId="3" xfId="0" applyFill="1" applyBorder="1" applyAlignment="1">
      <alignment horizontal="center" vertical="distributed" wrapText="1"/>
    </xf>
    <xf numFmtId="9" fontId="0" fillId="0" borderId="3" xfId="1" applyFont="1" applyFill="1" applyBorder="1" applyAlignment="1">
      <alignment horizontal="left"/>
    </xf>
    <xf numFmtId="0" fontId="4" fillId="0" borderId="3" xfId="0" applyFont="1" applyFill="1" applyBorder="1" applyAlignment="1"/>
    <xf numFmtId="0" fontId="23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18" xfId="0" applyFont="1" applyFill="1" applyBorder="1"/>
    <xf numFmtId="0" fontId="22" fillId="0" borderId="28" xfId="0" applyFont="1" applyFill="1" applyBorder="1"/>
    <xf numFmtId="0" fontId="22" fillId="0" borderId="21" xfId="0" applyFont="1" applyFill="1" applyBorder="1"/>
    <xf numFmtId="0" fontId="22" fillId="0" borderId="31" xfId="0" applyFont="1" applyFill="1" applyBorder="1" applyAlignment="1">
      <alignment vertical="center"/>
    </xf>
    <xf numFmtId="0" fontId="22" fillId="0" borderId="29" xfId="0" applyFont="1" applyFill="1" applyBorder="1" applyAlignment="1">
      <alignment vertical="center"/>
    </xf>
    <xf numFmtId="0" fontId="22" fillId="0" borderId="30" xfId="0" applyFont="1" applyFill="1" applyBorder="1" applyAlignment="1">
      <alignment vertical="center"/>
    </xf>
    <xf numFmtId="0" fontId="22" fillId="0" borderId="28" xfId="0" applyFont="1" applyFill="1" applyBorder="1" applyAlignment="1">
      <alignment vertical="center"/>
    </xf>
    <xf numFmtId="0" fontId="22" fillId="0" borderId="21" xfId="0" applyFont="1" applyFill="1" applyBorder="1" applyAlignment="1">
      <alignment vertical="center"/>
    </xf>
    <xf numFmtId="9" fontId="22" fillId="0" borderId="31" xfId="2" applyFont="1" applyFill="1" applyBorder="1" applyAlignment="1">
      <alignment vertical="center"/>
    </xf>
    <xf numFmtId="9" fontId="22" fillId="0" borderId="29" xfId="2" applyFont="1" applyFill="1" applyBorder="1" applyAlignment="1">
      <alignment vertical="center"/>
    </xf>
    <xf numFmtId="9" fontId="22" fillId="0" borderId="30" xfId="2" applyFont="1" applyFill="1" applyBorder="1" applyAlignment="1">
      <alignment vertical="center"/>
    </xf>
    <xf numFmtId="0" fontId="23" fillId="0" borderId="19" xfId="0" applyFont="1" applyFill="1" applyBorder="1" applyAlignment="1">
      <alignment vertical="center"/>
    </xf>
    <xf numFmtId="0" fontId="22" fillId="0" borderId="20" xfId="0" applyFont="1" applyFill="1" applyBorder="1" applyAlignment="1">
      <alignment vertical="center"/>
    </xf>
    <xf numFmtId="0" fontId="22" fillId="0" borderId="27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0" fontId="22" fillId="0" borderId="23" xfId="0" applyFont="1" applyFill="1" applyBorder="1" applyAlignment="1">
      <alignment vertical="center"/>
    </xf>
    <xf numFmtId="0" fontId="24" fillId="18" borderId="28" xfId="0" applyFont="1" applyFill="1" applyBorder="1"/>
    <xf numFmtId="0" fontId="24" fillId="18" borderId="0" xfId="0" applyFont="1" applyFill="1" applyBorder="1" applyAlignment="1">
      <alignment vertical="center"/>
    </xf>
    <xf numFmtId="0" fontId="24" fillId="18" borderId="27" xfId="0" applyFont="1" applyFill="1" applyBorder="1" applyAlignment="1">
      <alignment vertical="center"/>
    </xf>
    <xf numFmtId="0" fontId="24" fillId="18" borderId="29" xfId="0" applyFont="1" applyFill="1" applyBorder="1" applyAlignment="1">
      <alignment vertical="center"/>
    </xf>
    <xf numFmtId="9" fontId="24" fillId="18" borderId="27" xfId="2" applyFont="1" applyFill="1" applyBorder="1" applyAlignment="1">
      <alignment vertical="center"/>
    </xf>
    <xf numFmtId="0" fontId="22" fillId="18" borderId="21" xfId="0" applyFont="1" applyFill="1" applyBorder="1"/>
    <xf numFmtId="0" fontId="23" fillId="18" borderId="22" xfId="0" applyFont="1" applyFill="1" applyBorder="1" applyAlignment="1">
      <alignment vertical="center"/>
    </xf>
    <xf numFmtId="0" fontId="22" fillId="18" borderId="23" xfId="0" applyFont="1" applyFill="1" applyBorder="1" applyAlignment="1">
      <alignment vertical="center"/>
    </xf>
    <xf numFmtId="0" fontId="22" fillId="18" borderId="30" xfId="0" applyFont="1" applyFill="1" applyBorder="1" applyAlignment="1">
      <alignment vertical="center"/>
    </xf>
    <xf numFmtId="0" fontId="22" fillId="18" borderId="22" xfId="0" applyFont="1" applyFill="1" applyBorder="1" applyAlignment="1">
      <alignment vertical="center"/>
    </xf>
    <xf numFmtId="0" fontId="24" fillId="18" borderId="22" xfId="0" applyFont="1" applyFill="1" applyBorder="1" applyAlignment="1">
      <alignment vertical="center"/>
    </xf>
    <xf numFmtId="9" fontId="24" fillId="18" borderId="23" xfId="2" applyFont="1" applyFill="1" applyBorder="1" applyAlignment="1">
      <alignment vertical="center"/>
    </xf>
    <xf numFmtId="0" fontId="24" fillId="18" borderId="18" xfId="0" applyFont="1" applyFill="1" applyBorder="1"/>
    <xf numFmtId="0" fontId="24" fillId="18" borderId="19" xfId="0" applyFont="1" applyFill="1" applyBorder="1" applyAlignment="1">
      <alignment vertical="center"/>
    </xf>
    <xf numFmtId="0" fontId="24" fillId="18" borderId="20" xfId="0" applyFont="1" applyFill="1" applyBorder="1" applyAlignment="1">
      <alignment vertical="center"/>
    </xf>
    <xf numFmtId="9" fontId="24" fillId="18" borderId="29" xfId="2" applyFont="1" applyFill="1" applyBorder="1" applyAlignment="1">
      <alignment vertical="center"/>
    </xf>
    <xf numFmtId="0" fontId="23" fillId="25" borderId="7" xfId="0" applyFont="1" applyFill="1" applyBorder="1" applyAlignment="1">
      <alignment vertical="center"/>
    </xf>
    <xf numFmtId="0" fontId="22" fillId="25" borderId="7" xfId="0" applyFont="1" applyFill="1" applyBorder="1" applyAlignment="1">
      <alignment vertical="center"/>
    </xf>
    <xf numFmtId="0" fontId="22" fillId="25" borderId="17" xfId="0" applyFont="1" applyFill="1" applyBorder="1" applyAlignment="1">
      <alignment vertical="center"/>
    </xf>
    <xf numFmtId="0" fontId="22" fillId="25" borderId="22" xfId="0" applyFont="1" applyFill="1" applyBorder="1" applyAlignment="1">
      <alignment vertical="center"/>
    </xf>
    <xf numFmtId="10" fontId="0" fillId="0" borderId="0" xfId="0" applyNumberFormat="1"/>
    <xf numFmtId="0" fontId="0" fillId="25" borderId="0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8" fillId="25" borderId="0" xfId="0" applyFont="1" applyFill="1" applyBorder="1" applyAlignment="1">
      <alignment horizontal="center"/>
    </xf>
    <xf numFmtId="10" fontId="7" fillId="25" borderId="0" xfId="0" applyNumberFormat="1" applyFont="1" applyFill="1" applyAlignment="1">
      <alignment horizontal="center"/>
    </xf>
    <xf numFmtId="0" fontId="7" fillId="25" borderId="0" xfId="0" applyFont="1" applyFill="1" applyAlignment="1">
      <alignment horizontal="center"/>
    </xf>
    <xf numFmtId="0" fontId="25" fillId="17" borderId="3" xfId="0" applyFont="1" applyFill="1" applyBorder="1" applyAlignment="1">
      <alignment vertical="center" wrapText="1"/>
    </xf>
    <xf numFmtId="0" fontId="25" fillId="17" borderId="4" xfId="0" applyFont="1" applyFill="1" applyBorder="1" applyAlignment="1">
      <alignment vertical="center" wrapText="1"/>
    </xf>
    <xf numFmtId="0" fontId="25" fillId="17" borderId="16" xfId="0" applyFont="1" applyFill="1" applyBorder="1" applyAlignment="1">
      <alignment vertical="center" wrapText="1"/>
    </xf>
    <xf numFmtId="0" fontId="25" fillId="17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25" borderId="9" xfId="0" applyFont="1" applyFill="1" applyBorder="1"/>
    <xf numFmtId="10" fontId="0" fillId="25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7" fillId="0" borderId="0" xfId="0" applyFont="1" applyFill="1" applyAlignment="1">
      <alignment horizontal="center"/>
    </xf>
    <xf numFmtId="10" fontId="7" fillId="0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0" fontId="7" fillId="2" borderId="0" xfId="0" applyNumberFormat="1" applyFont="1" applyFill="1" applyAlignment="1">
      <alignment horizont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26" fillId="18" borderId="18" xfId="0" applyFont="1" applyFill="1" applyBorder="1" applyAlignment="1">
      <alignment horizontal="left" vertical="center"/>
    </xf>
    <xf numFmtId="0" fontId="26" fillId="18" borderId="19" xfId="0" applyFont="1" applyFill="1" applyBorder="1" applyAlignment="1">
      <alignment horizontal="left" vertical="center"/>
    </xf>
    <xf numFmtId="0" fontId="26" fillId="18" borderId="20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25" fillId="17" borderId="33" xfId="0" applyFont="1" applyFill="1" applyBorder="1" applyAlignment="1">
      <alignment horizontal="left" vertical="center" wrapText="1"/>
    </xf>
    <xf numFmtId="0" fontId="25" fillId="17" borderId="32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Процентный 2" xfId="1" xr:uid="{0BE6B38A-6D31-404D-93F1-C3B3CD6BDB0F}"/>
  </cellStyles>
  <dxfs count="0"/>
  <tableStyles count="0" defaultTableStyle="TableStyleMedium2" defaultPivotStyle="PivotStyleLight16"/>
  <colors>
    <mruColors>
      <color rgb="FF0079A4"/>
      <color rgb="FF659A2A"/>
      <color rgb="FFAC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sc:personList xmlns:sc="http://schemas.microsoft.com/office/spreadsheetml/2018/threadedcomments">
  <sc:person displayName="Любарская Светлана Викторовна" id="{AA7FBE82-4B70-4743-9CBC-7DC232FF41F7}" providerId="None"/>
  <sc:person displayName="tc={6E72A26A-8E1B-483E-9B02-8BFEF0D90CA7}" id="{6F09F184-2471-4A84-91C4-90DFD79B2CF4}" providerId="None"/>
  <sc:person displayName="tc={532B831C-3510-4097-ABDD-0A1D2F32D400}" id="{CE985E05-CE9B-4CCC-911D-B36D764B1880}" providerId="None"/>
  <sc:person displayName="tc={76465D02-A475-4919-A803-156E309D30CE}" id="{4782C9FB-650A-4FBA-A8E3-06699CD0D8C5}" providerId="None"/>
  <sc:person displayName="tc={EE74A51F-CCB1-4697-BE48-F6DDE2F3FA87}" id="{3025BB5F-6BCE-44C6-927D-C9C37CBA84C4}" providerId="None"/>
  <sc:person displayName="tc={7719EDAC-92F0-43FB-B709-B1B21C55042D}" id="{FD71D660-C1FD-4A09-A0B7-243C3BF33818}" providerId="None"/>
  <sc:person displayName="tc={E081CB71-700F-4A3E-8561-E62DE9516FC5}" id="{D1656D8E-ADA6-43FD-977E-E3107EEA6AAF}" providerId="None"/>
  <sc:person displayName="tc={E5CF736F-5396-4570-9EB1-FD7EE74DEB90}" id="{CEC2540B-ED76-46DD-B047-E7BA01BA563A}" providerId="None"/>
</s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sc:ThreadedComments xmlns:sc="http://schemas.microsoft.com/office/spreadsheetml/2018/threadedcomments">
  <sc:threadedComment ref="B8" personId="{AA7FBE82-4B70-4743-9CBC-7DC232FF41F7}" id="{46FAF6F1-EDB7-4EDF-9928-E51A695D675D}">
    <sc:text>Любарская Светлана Викторовна:
Инвалид</sc:text>
  </sc:threadedComment>
  <sc:threadedComment ref="Q55" personId="{AA7FBE82-4B70-4743-9CBC-7DC232FF41F7}" id="{6E72A26A-8E1B-483E-9B02-8BFEF0D90CA7}">
    <sc:text>Любарская Светлана Викторовна:
Курсы ШИП</sc:text>
  </sc:threadedComment>
  <sc:threadedComment ref="B70" personId="{AA7FBE82-4B70-4743-9CBC-7DC232FF41F7}" id="{57DA94F4-DBF6-42F6-8603-D2F086A15C67}">
    <sc:text>Любарская Светлана Викторовна:
сирота
</sc:text>
  </sc:threadedComment>
  <sc:threadedComment ref="B177" personId="{AA7FBE82-4B70-4743-9CBC-7DC232FF41F7}" id="{221BFE93-ED6F-465C-8D24-52FF50E292C8}">
    <sc:text>Любарская Светлана Викторовна:
инвалид
</sc:text>
  </sc:threadedComment>
  <sc:threadedComment ref="B200" personId="{AA7FBE82-4B70-4743-9CBC-7DC232FF41F7}" id="{532B831C-3510-4097-ABDD-0A1D2F32D400}">
    <sc:text>Любарская Светлана Викторовна:
сирота</sc:text>
  </sc:threadedComment>
  <sc:threadedComment ref="B245" personId="{AA7FBE82-4B70-4743-9CBC-7DC232FF41F7}" id="{1FBAE452-2982-45BF-B6F9-982FE6C369ED}">
    <sc:text>Любарская Светлана Викторовна:
инвалид</sc:text>
  </sc:threadedComment>
  <sc:threadedComment ref="B289" personId="{AA7FBE82-4B70-4743-9CBC-7DC232FF41F7}" id="{76465D02-A475-4919-A803-156E309D30CE}">
    <sc:text>Любарская Светлана Викторовна:
инвалид
</sc:text>
  </sc:threadedComment>
  <sc:threadedComment ref="B295" personId="{AA7FBE82-4B70-4743-9CBC-7DC232FF41F7}" id="{EE74A51F-CCB1-4697-BE48-F6DDE2F3FA87}">
    <sc:text>Любарская Светлана Викторовна:
обучался по обркредиту</sc:text>
  </sc:threadedComment>
  <sc:threadedComment ref="J295" personId="{AA7FBE82-4B70-4743-9CBC-7DC232FF41F7}" id="{7719EDAC-92F0-43FB-B709-B1B21C55042D}">
    <sc:text>Любарская Светлана Викторовна:
обркредит</sc:text>
  </sc:threadedComment>
  <sc:threadedComment ref="K341" personId="{AA7FBE82-4B70-4743-9CBC-7DC232FF41F7}" id="{E081CB71-700F-4A3E-8561-E62DE9516FC5}">
    <sc:text>Любарская Светлана Викторовна:
получает второе высшее образование бакалавриат "Юриспруденцция" будет в выпуске 2026 г.
</sc:text>
  </sc:threadedComment>
  <sc:threadedComment ref="B356" personId="{AA7FBE82-4B70-4743-9CBC-7DC232FF41F7}" id="{E5CF736F-5396-4570-9EB1-FD7EE74DEB90}">
    <sc:text>Любарская Светлана Викторовна:
в 1с Мадриджон</sc:text>
  </sc:threadedComment>
  <sc:threadedComment ref="B638" personId="{AA7FBE82-4B70-4743-9CBC-7DC232FF41F7}" id="{49C10D77-62C7-4E30-99A9-0A79B69F83C8}">
    <sc:text>Любарская Светлана Викторовна:
инвалид
</sc:text>
  </sc:threadedComment>
  <sc:threadedComment ref="R68" personId="{6F09F184-2471-4A84-91C4-90DFD79B2CF4}" id="{4FC60C0B-FA65-4E76-A9A5-206142672E69}">
    <sc:text>[Threaded comment]
Your application allows you to read this threaded comment; however, any edits to it will get removed if the file is opened in a latest version of Excel.
Comment:
		Любарская Светлана Викторовна:
Курсы ШИП</sc:text>
  </sc:threadedComment>
  <sc:threadedComment ref="B208" personId="{CE985E05-CE9B-4CCC-911D-B36D764B1880}" id="{846EEF60-A1CA-414F-A7A5-5B1D46716C7D}">
    <sc:text>[Threaded comment]
Your application allows you to read this threaded comment; however, any edits to it will get removed if the file is opened in a latest version of Excel.
Comment:
		Любарская Светлана Викторовна:
сирота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B6" personId="{4782C9FB-650A-4FBA-A8E3-06699CD0D8C5}" id="{744F1342-47B2-4967-89EE-BBCBCA3031D7}">
    <sc:text>[Threaded comment]
Your application allows you to read this threaded comment; however, any edits to it will get removed if the file is opened in a latest version of Excel.
Comment:
		Любарская Светлана Викторовна:
инвалид</sc:text>
  </sc:threadedComment>
  <sc:threadedComment ref="B12" personId="{3025BB5F-6BCE-44C6-927D-C9C37CBA84C4}" id="{070D1335-1E7C-48B4-A73E-51D98B25DC02}">
    <sc:text>[Threaded comment]
Your application allows you to read this threaded comment; however, any edits to it will get removed if the file is opened in a latest version of Excel.
Comment:
		Любарская Светлана Викторовна:
обучался по обркредиту</sc:text>
  </sc:threadedComment>
  <sc:threadedComment ref="K12" personId="{FD71D660-C1FD-4A09-A0B7-243C3BF33818}" id="{20D8EB66-ADAE-437B-8023-163711B4FC70}">
    <sc:text>[Threaded comment]
Your application allows you to read this threaded comment; however, any edits to it will get removed if the file is opened in a latest version of Excel.
Comment:
		Любарская Светлана Викторовна:
обркредит</sc:text>
  </sc:threadedComment>
  <sc:threadedComment ref="L58" personId="{D1656D8E-ADA6-43FD-977E-E3107EEA6AAF}" id="{570C199A-92E7-4E64-8C1C-0EAAA2A81162}">
    <sc:text>[Threaded comment]
Your application allows you to read this threaded comment; however, any edits to it will get removed if the file is opened in a latest version of Excel.
Comment:
		Любарская Светлана Викторовна:
получает второе высшее образование бакалавриат "Юриспруденцция" будет в выпуске 2026 г.</sc:text>
  </sc:threadedComment>
  <sc:threadedComment ref="B73" personId="{CEC2540B-ED76-46DD-B047-E7BA01BA563A}" id="{2E1AB609-E1E0-4A49-A28F-C8568BF6B14F}">
    <sc:text>[Threaded comment]
Your application allows you to read this threaded comment; however, any edits to it will get removed if the file is opened in a latest version of Excel.
Comment:
		Любарская Светлана Викторовна:
в 1с Мадриджон</sc:text>
  </sc:threadedComment>
</s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ecko.ru/company/select?code=620100" TargetMode="External"/><Relationship Id="rId2" Type="http://schemas.openxmlformats.org/officeDocument/2006/relationships/hyperlink" Target="https://ookashin.ru/" TargetMode="External"/><Relationship Id="rId1" Type="http://schemas.openxmlformats.org/officeDocument/2006/relationships/hyperlink" Target="https://checko.ru/company/select?code=721900" TargetMode="External"/><Relationship Id="rId60" Type="http://schemas.microsoft.com/office/2017/10/relationships/threadedComment" Target="../threadedComments/threadedComment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2" Type="http://schemas.microsoft.com/office/2017/10/relationships/threadedComment" Target="../threadedComments/threadedComment2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8"/>
  <sheetViews>
    <sheetView tabSelected="1" zoomScale="90" zoomScaleNormal="90" workbookViewId="0">
      <pane ySplit="1" topLeftCell="A74" activePane="bottomLeft" state="frozen"/>
      <selection pane="bottomLeft" activeCell="F13" sqref="F13"/>
    </sheetView>
  </sheetViews>
  <sheetFormatPr defaultColWidth="10" defaultRowHeight="15" x14ac:dyDescent="0.25"/>
  <cols>
    <col min="1" max="1" width="4.42578125" style="78" bestFit="1" customWidth="1"/>
    <col min="2" max="2" width="24.42578125" style="190" bestFit="1" customWidth="1"/>
    <col min="3" max="3" width="17.42578125" style="189" bestFit="1" customWidth="1"/>
    <col min="4" max="4" width="17.85546875" style="155" customWidth="1"/>
    <col min="5" max="5" width="12" style="155" bestFit="1" customWidth="1"/>
    <col min="6" max="6" width="90.85546875" style="155" bestFit="1" customWidth="1"/>
    <col min="7" max="7" width="18.85546875" style="191" customWidth="1"/>
    <col min="8" max="8" width="45.28515625" style="155" bestFit="1" customWidth="1"/>
    <col min="9" max="9" width="52" style="189" bestFit="1" customWidth="1"/>
    <col min="10" max="10" width="33.28515625" style="188" bestFit="1" customWidth="1"/>
    <col min="11" max="11" width="62.28515625" style="188" bestFit="1" customWidth="1"/>
    <col min="12" max="12" width="27.7109375" style="155" bestFit="1" customWidth="1"/>
    <col min="13" max="13" width="46.85546875" style="188" bestFit="1" customWidth="1"/>
    <col min="14" max="16384" width="10" style="155"/>
  </cols>
  <sheetData>
    <row r="1" spans="1:19" s="5" customFormat="1" ht="120" customHeight="1" x14ac:dyDescent="0.25">
      <c r="A1" s="181"/>
      <c r="B1" s="183" t="s">
        <v>865</v>
      </c>
      <c r="C1" s="182" t="s">
        <v>0</v>
      </c>
      <c r="D1" s="182" t="s">
        <v>1</v>
      </c>
      <c r="E1" s="182" t="s">
        <v>2</v>
      </c>
      <c r="F1" s="182" t="s">
        <v>3</v>
      </c>
      <c r="G1" s="184" t="s">
        <v>4</v>
      </c>
      <c r="H1" s="182" t="s">
        <v>5</v>
      </c>
      <c r="I1" s="182" t="s">
        <v>6</v>
      </c>
      <c r="J1" s="185" t="s">
        <v>7</v>
      </c>
      <c r="K1" s="185" t="s">
        <v>8</v>
      </c>
      <c r="L1" s="182" t="s">
        <v>9</v>
      </c>
      <c r="M1" s="185" t="s">
        <v>10</v>
      </c>
    </row>
    <row r="2" spans="1:19" s="5" customFormat="1" x14ac:dyDescent="0.25">
      <c r="A2" s="14">
        <f t="shared" ref="A2:A32" si="0">A1+1</f>
        <v>1</v>
      </c>
      <c r="B2" s="25" t="s">
        <v>763</v>
      </c>
      <c r="C2" s="86" t="s">
        <v>12</v>
      </c>
      <c r="D2" s="15" t="s">
        <v>177</v>
      </c>
      <c r="E2" s="15" t="s">
        <v>14</v>
      </c>
      <c r="F2" s="15" t="s">
        <v>755</v>
      </c>
      <c r="G2" s="18" t="s">
        <v>98</v>
      </c>
      <c r="H2" s="19" t="s">
        <v>122</v>
      </c>
      <c r="I2" s="86"/>
      <c r="J2" s="15"/>
      <c r="K2" s="16"/>
      <c r="L2" s="16"/>
      <c r="M2" s="16"/>
    </row>
    <row r="3" spans="1:19" s="5" customFormat="1" x14ac:dyDescent="0.25">
      <c r="A3" s="39">
        <f t="shared" si="0"/>
        <v>2</v>
      </c>
      <c r="B3" s="90" t="s">
        <v>764</v>
      </c>
      <c r="C3" s="87" t="s">
        <v>12</v>
      </c>
      <c r="D3" s="5" t="s">
        <v>177</v>
      </c>
      <c r="E3" s="5" t="s">
        <v>14</v>
      </c>
      <c r="F3" s="5" t="s">
        <v>523</v>
      </c>
      <c r="G3" s="41" t="s">
        <v>98</v>
      </c>
      <c r="H3" s="52" t="s">
        <v>16</v>
      </c>
      <c r="I3" s="7"/>
      <c r="J3" s="5" t="s">
        <v>17</v>
      </c>
      <c r="K3" s="172" t="s">
        <v>83</v>
      </c>
      <c r="L3" s="172" t="s">
        <v>840</v>
      </c>
      <c r="M3" s="172" t="s">
        <v>524</v>
      </c>
    </row>
    <row r="4" spans="1:19" s="5" customFormat="1" ht="30" x14ac:dyDescent="0.25">
      <c r="A4" s="39">
        <f t="shared" si="0"/>
        <v>3</v>
      </c>
      <c r="B4" s="90" t="s">
        <v>764</v>
      </c>
      <c r="C4" s="87" t="s">
        <v>12</v>
      </c>
      <c r="D4" s="5" t="s">
        <v>177</v>
      </c>
      <c r="E4" s="5" t="s">
        <v>14</v>
      </c>
      <c r="F4" s="5" t="s">
        <v>523</v>
      </c>
      <c r="G4" s="41" t="s">
        <v>15</v>
      </c>
      <c r="H4" s="52" t="s">
        <v>16</v>
      </c>
      <c r="I4" s="7"/>
      <c r="J4" s="5" t="s">
        <v>17</v>
      </c>
      <c r="K4" s="172" t="s">
        <v>202</v>
      </c>
      <c r="L4" s="172" t="s">
        <v>47</v>
      </c>
      <c r="M4" s="172" t="s">
        <v>525</v>
      </c>
    </row>
    <row r="5" spans="1:19" s="5" customFormat="1" x14ac:dyDescent="0.25">
      <c r="A5" s="39">
        <f t="shared" si="0"/>
        <v>4</v>
      </c>
      <c r="B5" s="90" t="s">
        <v>764</v>
      </c>
      <c r="C5" s="87" t="s">
        <v>12</v>
      </c>
      <c r="D5" s="5" t="s">
        <v>177</v>
      </c>
      <c r="E5" s="5" t="s">
        <v>14</v>
      </c>
      <c r="F5" s="5" t="s">
        <v>523</v>
      </c>
      <c r="G5" s="41" t="s">
        <v>98</v>
      </c>
      <c r="H5" s="52" t="s">
        <v>16</v>
      </c>
      <c r="I5" s="87"/>
      <c r="J5" s="5" t="s">
        <v>17</v>
      </c>
      <c r="K5" s="44" t="s">
        <v>526</v>
      </c>
      <c r="L5" s="44" t="s">
        <v>114</v>
      </c>
      <c r="M5" s="44" t="s">
        <v>527</v>
      </c>
    </row>
    <row r="6" spans="1:19" s="5" customFormat="1" x14ac:dyDescent="0.25">
      <c r="A6" s="39">
        <f t="shared" si="0"/>
        <v>5</v>
      </c>
      <c r="B6" s="45" t="s">
        <v>765</v>
      </c>
      <c r="C6" s="87" t="s">
        <v>12</v>
      </c>
      <c r="D6" s="5" t="s">
        <v>13</v>
      </c>
      <c r="E6" s="5" t="s">
        <v>14</v>
      </c>
      <c r="F6" s="5" t="s">
        <v>758</v>
      </c>
      <c r="G6" s="41" t="s">
        <v>98</v>
      </c>
      <c r="H6" s="46" t="s">
        <v>16</v>
      </c>
      <c r="I6" s="87"/>
      <c r="K6" s="44"/>
      <c r="M6" s="44"/>
    </row>
    <row r="7" spans="1:19" s="5" customFormat="1" x14ac:dyDescent="0.25">
      <c r="A7" s="39">
        <f t="shared" si="0"/>
        <v>6</v>
      </c>
      <c r="B7" s="45" t="s">
        <v>762</v>
      </c>
      <c r="C7" s="87" t="s">
        <v>12</v>
      </c>
      <c r="D7" s="5" t="s">
        <v>13</v>
      </c>
      <c r="E7" s="5" t="s">
        <v>14</v>
      </c>
      <c r="F7" s="43" t="s">
        <v>735</v>
      </c>
      <c r="G7" s="41" t="s">
        <v>15</v>
      </c>
      <c r="H7" s="41" t="s">
        <v>16</v>
      </c>
      <c r="I7" s="87"/>
      <c r="J7" s="5" t="s">
        <v>708</v>
      </c>
      <c r="K7" s="44"/>
      <c r="M7" s="44"/>
    </row>
    <row r="8" spans="1:19" s="5" customFormat="1" x14ac:dyDescent="0.25">
      <c r="A8" s="39">
        <f t="shared" si="0"/>
        <v>7</v>
      </c>
      <c r="B8" s="45" t="s">
        <v>762</v>
      </c>
      <c r="C8" s="87" t="s">
        <v>12</v>
      </c>
      <c r="D8" s="5" t="s">
        <v>13</v>
      </c>
      <c r="E8" s="5" t="s">
        <v>14</v>
      </c>
      <c r="F8" s="43" t="s">
        <v>739</v>
      </c>
      <c r="G8" s="41" t="s">
        <v>15</v>
      </c>
      <c r="H8" s="41" t="s">
        <v>26</v>
      </c>
      <c r="I8" s="87" t="s">
        <v>22</v>
      </c>
      <c r="K8" s="44"/>
      <c r="M8" s="44"/>
    </row>
    <row r="9" spans="1:19" s="5" customFormat="1" x14ac:dyDescent="0.25">
      <c r="A9" s="39">
        <f t="shared" si="0"/>
        <v>8</v>
      </c>
      <c r="B9" s="35" t="s">
        <v>763</v>
      </c>
      <c r="C9" s="89" t="s">
        <v>12</v>
      </c>
      <c r="D9" s="2" t="s">
        <v>13</v>
      </c>
      <c r="E9" s="2" t="s">
        <v>14</v>
      </c>
      <c r="F9" s="6" t="s">
        <v>413</v>
      </c>
      <c r="G9" s="3" t="s">
        <v>98</v>
      </c>
      <c r="H9" s="1" t="s">
        <v>16</v>
      </c>
      <c r="I9" s="89" t="s">
        <v>414</v>
      </c>
      <c r="J9" s="42"/>
      <c r="K9" s="44"/>
      <c r="M9" s="44"/>
      <c r="P9" s="42"/>
    </row>
    <row r="10" spans="1:19" s="5" customFormat="1" x14ac:dyDescent="0.25">
      <c r="A10" s="39">
        <f t="shared" si="0"/>
        <v>9</v>
      </c>
      <c r="B10" s="35" t="s">
        <v>763</v>
      </c>
      <c r="C10" s="89" t="s">
        <v>12</v>
      </c>
      <c r="D10" s="2" t="s">
        <v>13</v>
      </c>
      <c r="E10" s="2" t="s">
        <v>14</v>
      </c>
      <c r="F10" s="6" t="s">
        <v>413</v>
      </c>
      <c r="G10" s="3" t="s">
        <v>98</v>
      </c>
      <c r="H10" s="4" t="s">
        <v>16</v>
      </c>
      <c r="I10" s="1"/>
      <c r="K10" s="172"/>
      <c r="M10" s="44"/>
      <c r="O10" s="42"/>
    </row>
    <row r="11" spans="1:19" s="5" customFormat="1" x14ac:dyDescent="0.25">
      <c r="A11" s="39">
        <f t="shared" si="0"/>
        <v>10</v>
      </c>
      <c r="B11" s="35" t="s">
        <v>763</v>
      </c>
      <c r="C11" s="89" t="s">
        <v>12</v>
      </c>
      <c r="D11" s="2" t="s">
        <v>13</v>
      </c>
      <c r="E11" s="2" t="s">
        <v>14</v>
      </c>
      <c r="F11" s="6" t="s">
        <v>413</v>
      </c>
      <c r="G11" s="3" t="s">
        <v>98</v>
      </c>
      <c r="H11" s="4" t="s">
        <v>16</v>
      </c>
      <c r="I11" s="1"/>
      <c r="K11" s="172"/>
      <c r="M11" s="44"/>
    </row>
    <row r="12" spans="1:19" s="5" customFormat="1" x14ac:dyDescent="0.25">
      <c r="A12" s="39">
        <f t="shared" si="0"/>
        <v>11</v>
      </c>
      <c r="B12" s="35" t="s">
        <v>763</v>
      </c>
      <c r="C12" s="89" t="s">
        <v>12</v>
      </c>
      <c r="D12" s="2" t="s">
        <v>13</v>
      </c>
      <c r="E12" s="2" t="s">
        <v>14</v>
      </c>
      <c r="F12" s="6" t="s">
        <v>413</v>
      </c>
      <c r="G12" s="3" t="s">
        <v>98</v>
      </c>
      <c r="H12" s="4" t="s">
        <v>30</v>
      </c>
      <c r="I12" s="89" t="s">
        <v>415</v>
      </c>
      <c r="J12" s="5" t="s">
        <v>17</v>
      </c>
      <c r="K12" s="172" t="s">
        <v>784</v>
      </c>
      <c r="L12" s="5" t="s">
        <v>80</v>
      </c>
      <c r="M12" s="44" t="s">
        <v>81</v>
      </c>
      <c r="Q12" s="42"/>
    </row>
    <row r="13" spans="1:19" s="5" customFormat="1" ht="49.5" customHeight="1" x14ac:dyDescent="0.25">
      <c r="A13" s="39">
        <f t="shared" si="0"/>
        <v>12</v>
      </c>
      <c r="B13" s="35" t="s">
        <v>763</v>
      </c>
      <c r="C13" s="89" t="s">
        <v>12</v>
      </c>
      <c r="D13" s="2" t="s">
        <v>13</v>
      </c>
      <c r="E13" s="2" t="s">
        <v>14</v>
      </c>
      <c r="F13" s="6" t="s">
        <v>413</v>
      </c>
      <c r="G13" s="3" t="s">
        <v>98</v>
      </c>
      <c r="H13" s="4" t="s">
        <v>16</v>
      </c>
      <c r="I13" s="89"/>
      <c r="K13" s="44"/>
      <c r="M13" s="44"/>
    </row>
    <row r="14" spans="1:19" s="5" customFormat="1" ht="28.5" customHeight="1" x14ac:dyDescent="0.25">
      <c r="A14" s="39">
        <f t="shared" si="0"/>
        <v>13</v>
      </c>
      <c r="B14" s="35" t="s">
        <v>763</v>
      </c>
      <c r="C14" s="89" t="s">
        <v>12</v>
      </c>
      <c r="D14" s="2" t="s">
        <v>13</v>
      </c>
      <c r="E14" s="2" t="s">
        <v>14</v>
      </c>
      <c r="F14" s="6" t="s">
        <v>413</v>
      </c>
      <c r="G14" s="3" t="s">
        <v>98</v>
      </c>
      <c r="H14" s="1" t="s">
        <v>16</v>
      </c>
      <c r="I14" s="89"/>
      <c r="J14" s="42"/>
      <c r="K14" s="172"/>
      <c r="M14" s="44"/>
      <c r="S14" s="42"/>
    </row>
    <row r="15" spans="1:19" s="5" customFormat="1" x14ac:dyDescent="0.25">
      <c r="A15" s="39">
        <f t="shared" si="0"/>
        <v>14</v>
      </c>
      <c r="B15" s="35" t="s">
        <v>763</v>
      </c>
      <c r="C15" s="89" t="s">
        <v>12</v>
      </c>
      <c r="D15" s="2" t="s">
        <v>13</v>
      </c>
      <c r="E15" s="2" t="s">
        <v>14</v>
      </c>
      <c r="F15" s="6" t="s">
        <v>413</v>
      </c>
      <c r="G15" s="3" t="s">
        <v>98</v>
      </c>
      <c r="H15" s="4" t="s">
        <v>26</v>
      </c>
      <c r="I15" s="87" t="s">
        <v>85</v>
      </c>
      <c r="K15" s="172"/>
      <c r="L15" s="42"/>
      <c r="M15" s="44"/>
    </row>
    <row r="16" spans="1:19" s="5" customFormat="1" x14ac:dyDescent="0.25">
      <c r="A16" s="39">
        <f t="shared" si="0"/>
        <v>15</v>
      </c>
      <c r="B16" s="35" t="s">
        <v>763</v>
      </c>
      <c r="C16" s="89" t="s">
        <v>12</v>
      </c>
      <c r="D16" s="2" t="s">
        <v>13</v>
      </c>
      <c r="E16" s="2" t="s">
        <v>14</v>
      </c>
      <c r="F16" s="6" t="s">
        <v>413</v>
      </c>
      <c r="G16" s="3" t="s">
        <v>98</v>
      </c>
      <c r="H16" s="2" t="s">
        <v>16</v>
      </c>
      <c r="I16" s="89"/>
      <c r="K16" s="44"/>
      <c r="M16" s="44"/>
      <c r="N16" s="42"/>
      <c r="O16" s="42"/>
    </row>
    <row r="17" spans="1:43" s="5" customFormat="1" x14ac:dyDescent="0.25">
      <c r="A17" s="39">
        <f t="shared" si="0"/>
        <v>16</v>
      </c>
      <c r="B17" s="90" t="s">
        <v>764</v>
      </c>
      <c r="C17" s="87" t="s">
        <v>12</v>
      </c>
      <c r="D17" s="5" t="s">
        <v>177</v>
      </c>
      <c r="E17" s="5" t="s">
        <v>14</v>
      </c>
      <c r="F17" s="5" t="s">
        <v>523</v>
      </c>
      <c r="G17" s="41" t="s">
        <v>98</v>
      </c>
      <c r="H17" s="52" t="s">
        <v>16</v>
      </c>
      <c r="I17" s="87"/>
      <c r="J17" s="5" t="s">
        <v>17</v>
      </c>
      <c r="K17" s="172" t="s">
        <v>786</v>
      </c>
      <c r="L17" s="5" t="s">
        <v>80</v>
      </c>
      <c r="M17" s="44" t="s">
        <v>446</v>
      </c>
    </row>
    <row r="18" spans="1:43" s="5" customFormat="1" x14ac:dyDescent="0.25">
      <c r="A18" s="39">
        <f t="shared" si="0"/>
        <v>17</v>
      </c>
      <c r="B18" s="45" t="s">
        <v>765</v>
      </c>
      <c r="C18" s="87" t="s">
        <v>12</v>
      </c>
      <c r="D18" s="5" t="s">
        <v>13</v>
      </c>
      <c r="E18" s="5" t="s">
        <v>14</v>
      </c>
      <c r="F18" s="5" t="s">
        <v>540</v>
      </c>
      <c r="G18" s="41" t="s">
        <v>15</v>
      </c>
      <c r="H18" s="5" t="s">
        <v>16</v>
      </c>
      <c r="I18" s="87"/>
      <c r="K18" s="44"/>
      <c r="M18" s="44"/>
    </row>
    <row r="19" spans="1:43" s="5" customFormat="1" x14ac:dyDescent="0.25">
      <c r="A19" s="39">
        <f t="shared" si="0"/>
        <v>18</v>
      </c>
      <c r="B19" s="45" t="s">
        <v>762</v>
      </c>
      <c r="C19" s="87" t="s">
        <v>12</v>
      </c>
      <c r="D19" s="5" t="s">
        <v>13</v>
      </c>
      <c r="E19" s="5" t="s">
        <v>14</v>
      </c>
      <c r="F19" s="40" t="s">
        <v>11</v>
      </c>
      <c r="G19" s="41" t="s">
        <v>15</v>
      </c>
      <c r="H19" s="46" t="s">
        <v>16</v>
      </c>
      <c r="I19" s="87"/>
      <c r="J19" s="44" t="s">
        <v>17</v>
      </c>
      <c r="K19" s="172" t="s">
        <v>18</v>
      </c>
      <c r="L19" s="42" t="s">
        <v>125</v>
      </c>
      <c r="M19" s="172" t="s">
        <v>19</v>
      </c>
    </row>
    <row r="20" spans="1:43" s="5" customFormat="1" x14ac:dyDescent="0.25">
      <c r="A20" s="39">
        <f t="shared" si="0"/>
        <v>19</v>
      </c>
      <c r="B20" s="45" t="s">
        <v>762</v>
      </c>
      <c r="C20" s="87" t="s">
        <v>12</v>
      </c>
      <c r="D20" s="5" t="s">
        <v>13</v>
      </c>
      <c r="E20" s="5" t="s">
        <v>14</v>
      </c>
      <c r="F20" s="40" t="s">
        <v>11</v>
      </c>
      <c r="G20" s="41" t="s">
        <v>15</v>
      </c>
      <c r="H20" s="46" t="s">
        <v>26</v>
      </c>
      <c r="I20" s="42" t="s">
        <v>24</v>
      </c>
      <c r="K20" s="44"/>
      <c r="M20" s="44"/>
      <c r="N20" s="42"/>
      <c r="AC20" s="42"/>
      <c r="AQ20" s="42"/>
    </row>
    <row r="21" spans="1:43" s="5" customFormat="1" x14ac:dyDescent="0.25">
      <c r="A21" s="39">
        <f t="shared" si="0"/>
        <v>20</v>
      </c>
      <c r="B21" s="45" t="s">
        <v>762</v>
      </c>
      <c r="C21" s="87" t="s">
        <v>12</v>
      </c>
      <c r="D21" s="5" t="s">
        <v>13</v>
      </c>
      <c r="E21" s="5" t="s">
        <v>14</v>
      </c>
      <c r="F21" s="40" t="s">
        <v>11</v>
      </c>
      <c r="G21" s="41" t="s">
        <v>15</v>
      </c>
      <c r="H21" s="42" t="s">
        <v>26</v>
      </c>
      <c r="I21" s="42" t="s">
        <v>24</v>
      </c>
      <c r="J21" s="5" t="s">
        <v>17</v>
      </c>
      <c r="K21" s="44"/>
      <c r="M21" s="44"/>
    </row>
    <row r="22" spans="1:43" s="5" customFormat="1" x14ac:dyDescent="0.25">
      <c r="A22" s="39">
        <f t="shared" si="0"/>
        <v>21</v>
      </c>
      <c r="B22" s="45" t="s">
        <v>762</v>
      </c>
      <c r="C22" s="87" t="s">
        <v>12</v>
      </c>
      <c r="D22" s="5" t="s">
        <v>13</v>
      </c>
      <c r="E22" s="5" t="s">
        <v>14</v>
      </c>
      <c r="F22" s="40" t="s">
        <v>11</v>
      </c>
      <c r="G22" s="41" t="s">
        <v>15</v>
      </c>
      <c r="H22" s="46" t="s">
        <v>26</v>
      </c>
      <c r="I22" s="42" t="s">
        <v>27</v>
      </c>
      <c r="K22" s="44"/>
      <c r="M22" s="44"/>
    </row>
    <row r="23" spans="1:43" s="5" customFormat="1" x14ac:dyDescent="0.25">
      <c r="A23" s="39">
        <f t="shared" si="0"/>
        <v>22</v>
      </c>
      <c r="B23" s="45" t="s">
        <v>762</v>
      </c>
      <c r="C23" s="87" t="s">
        <v>12</v>
      </c>
      <c r="D23" s="5" t="s">
        <v>13</v>
      </c>
      <c r="E23" s="5" t="s">
        <v>14</v>
      </c>
      <c r="F23" s="40" t="s">
        <v>11</v>
      </c>
      <c r="G23" s="41" t="s">
        <v>864</v>
      </c>
      <c r="H23" s="46" t="s">
        <v>26</v>
      </c>
      <c r="I23" s="42" t="s">
        <v>22</v>
      </c>
      <c r="K23" s="44"/>
      <c r="M23" s="44"/>
    </row>
    <row r="24" spans="1:43" s="5" customFormat="1" x14ac:dyDescent="0.25">
      <c r="A24" s="39">
        <f t="shared" si="0"/>
        <v>23</v>
      </c>
      <c r="B24" s="45" t="s">
        <v>762</v>
      </c>
      <c r="C24" s="87" t="s">
        <v>12</v>
      </c>
      <c r="D24" s="5" t="s">
        <v>13</v>
      </c>
      <c r="E24" s="5" t="s">
        <v>14</v>
      </c>
      <c r="F24" s="40" t="s">
        <v>11</v>
      </c>
      <c r="G24" s="41" t="s">
        <v>15</v>
      </c>
      <c r="H24" s="46" t="s">
        <v>26</v>
      </c>
      <c r="I24" s="42" t="s">
        <v>27</v>
      </c>
      <c r="J24" s="5" t="s">
        <v>17</v>
      </c>
      <c r="K24" s="172" t="s">
        <v>782</v>
      </c>
      <c r="L24" s="42" t="s">
        <v>80</v>
      </c>
      <c r="M24" s="44" t="s">
        <v>783</v>
      </c>
    </row>
    <row r="25" spans="1:43" s="5" customFormat="1" x14ac:dyDescent="0.25">
      <c r="A25" s="39">
        <f t="shared" si="0"/>
        <v>24</v>
      </c>
      <c r="B25" s="45" t="s">
        <v>762</v>
      </c>
      <c r="C25" s="87" t="s">
        <v>12</v>
      </c>
      <c r="D25" s="5" t="s">
        <v>13</v>
      </c>
      <c r="E25" s="5" t="s">
        <v>14</v>
      </c>
      <c r="F25" s="40" t="s">
        <v>11</v>
      </c>
      <c r="G25" s="41" t="s">
        <v>15</v>
      </c>
      <c r="H25" s="46" t="s">
        <v>26</v>
      </c>
      <c r="I25" s="42" t="s">
        <v>28</v>
      </c>
      <c r="K25" s="44"/>
      <c r="M25" s="44"/>
    </row>
    <row r="26" spans="1:43" s="5" customFormat="1" x14ac:dyDescent="0.25">
      <c r="A26" s="39">
        <f t="shared" si="0"/>
        <v>25</v>
      </c>
      <c r="B26" s="45" t="s">
        <v>762</v>
      </c>
      <c r="C26" s="87" t="s">
        <v>12</v>
      </c>
      <c r="D26" s="5" t="s">
        <v>13</v>
      </c>
      <c r="E26" s="5" t="s">
        <v>14</v>
      </c>
      <c r="F26" s="40" t="s">
        <v>11</v>
      </c>
      <c r="G26" s="41" t="s">
        <v>15</v>
      </c>
      <c r="H26" s="46" t="s">
        <v>26</v>
      </c>
      <c r="I26" s="42" t="s">
        <v>29</v>
      </c>
      <c r="K26" s="44"/>
      <c r="M26" s="44"/>
    </row>
    <row r="27" spans="1:43" s="5" customFormat="1" ht="30" x14ac:dyDescent="0.25">
      <c r="A27" s="39">
        <f t="shared" si="0"/>
        <v>26</v>
      </c>
      <c r="B27" s="45" t="s">
        <v>762</v>
      </c>
      <c r="C27" s="87" t="s">
        <v>12</v>
      </c>
      <c r="D27" s="5" t="s">
        <v>13</v>
      </c>
      <c r="E27" s="5" t="s">
        <v>14</v>
      </c>
      <c r="F27" s="40" t="s">
        <v>11</v>
      </c>
      <c r="G27" s="41" t="s">
        <v>15</v>
      </c>
      <c r="H27" s="46" t="s">
        <v>30</v>
      </c>
      <c r="I27" s="42" t="s">
        <v>27</v>
      </c>
      <c r="J27" s="5" t="s">
        <v>31</v>
      </c>
      <c r="K27" s="172" t="s">
        <v>32</v>
      </c>
      <c r="L27" s="5" t="s">
        <v>33</v>
      </c>
      <c r="M27" s="44" t="s">
        <v>34</v>
      </c>
    </row>
    <row r="28" spans="1:43" s="5" customFormat="1" ht="30" x14ac:dyDescent="0.25">
      <c r="A28" s="39">
        <f t="shared" si="0"/>
        <v>27</v>
      </c>
      <c r="B28" s="45" t="s">
        <v>762</v>
      </c>
      <c r="C28" s="87" t="s">
        <v>12</v>
      </c>
      <c r="D28" s="5" t="s">
        <v>13</v>
      </c>
      <c r="E28" s="5" t="s">
        <v>14</v>
      </c>
      <c r="F28" s="43" t="s">
        <v>769</v>
      </c>
      <c r="G28" s="41" t="s">
        <v>15</v>
      </c>
      <c r="H28" s="46" t="s">
        <v>26</v>
      </c>
      <c r="I28" s="42" t="s">
        <v>36</v>
      </c>
      <c r="K28" s="172"/>
      <c r="L28" s="42"/>
      <c r="M28" s="172"/>
    </row>
    <row r="29" spans="1:43" s="5" customFormat="1" x14ac:dyDescent="0.25">
      <c r="A29" s="39">
        <f t="shared" si="0"/>
        <v>28</v>
      </c>
      <c r="B29" s="45" t="s">
        <v>762</v>
      </c>
      <c r="C29" s="87" t="s">
        <v>12</v>
      </c>
      <c r="D29" s="5" t="s">
        <v>13</v>
      </c>
      <c r="E29" s="5" t="s">
        <v>14</v>
      </c>
      <c r="F29" s="43" t="s">
        <v>769</v>
      </c>
      <c r="G29" s="41" t="s">
        <v>15</v>
      </c>
      <c r="H29" s="41" t="s">
        <v>16</v>
      </c>
      <c r="I29" s="87"/>
      <c r="J29" s="5" t="s">
        <v>37</v>
      </c>
      <c r="K29" s="172"/>
      <c r="L29" s="42"/>
      <c r="M29" s="172" t="s">
        <v>38</v>
      </c>
    </row>
    <row r="30" spans="1:43" s="5" customFormat="1" ht="30" x14ac:dyDescent="0.25">
      <c r="A30" s="39">
        <f t="shared" si="0"/>
        <v>29</v>
      </c>
      <c r="B30" s="45" t="s">
        <v>762</v>
      </c>
      <c r="C30" s="87" t="s">
        <v>12</v>
      </c>
      <c r="D30" s="5" t="s">
        <v>13</v>
      </c>
      <c r="E30" s="5" t="s">
        <v>14</v>
      </c>
      <c r="F30" s="43" t="s">
        <v>35</v>
      </c>
      <c r="G30" s="41" t="s">
        <v>15</v>
      </c>
      <c r="H30" s="41" t="s">
        <v>16</v>
      </c>
      <c r="I30" s="42"/>
      <c r="J30" s="5" t="s">
        <v>40</v>
      </c>
      <c r="K30" s="172" t="s">
        <v>41</v>
      </c>
      <c r="L30" s="42"/>
      <c r="M30" s="172" t="s">
        <v>42</v>
      </c>
    </row>
    <row r="31" spans="1:43" s="5" customFormat="1" x14ac:dyDescent="0.25">
      <c r="A31" s="192">
        <f t="shared" si="0"/>
        <v>30</v>
      </c>
      <c r="B31" s="195" t="s">
        <v>762</v>
      </c>
      <c r="C31" s="194" t="s">
        <v>12</v>
      </c>
      <c r="D31" s="193" t="s">
        <v>13</v>
      </c>
      <c r="E31" s="193" t="s">
        <v>14</v>
      </c>
      <c r="F31" s="196" t="s">
        <v>35</v>
      </c>
      <c r="G31" s="197" t="s">
        <v>15</v>
      </c>
      <c r="H31" s="198" t="s">
        <v>770</v>
      </c>
      <c r="I31" s="87"/>
      <c r="K31" s="172"/>
      <c r="L31" s="42"/>
      <c r="M31" s="172"/>
    </row>
    <row r="32" spans="1:43" s="5" customFormat="1" x14ac:dyDescent="0.25">
      <c r="A32" s="39">
        <f t="shared" si="0"/>
        <v>31</v>
      </c>
      <c r="B32" s="45" t="s">
        <v>762</v>
      </c>
      <c r="C32" s="87" t="s">
        <v>12</v>
      </c>
      <c r="D32" s="5" t="s">
        <v>13</v>
      </c>
      <c r="E32" s="5" t="s">
        <v>14</v>
      </c>
      <c r="F32" s="43" t="s">
        <v>35</v>
      </c>
      <c r="G32" s="41" t="s">
        <v>15</v>
      </c>
      <c r="H32" s="41" t="s">
        <v>16</v>
      </c>
      <c r="I32" s="87"/>
      <c r="J32" s="5" t="s">
        <v>31</v>
      </c>
      <c r="K32" s="172"/>
      <c r="L32" s="42"/>
      <c r="M32" s="172" t="s">
        <v>44</v>
      </c>
    </row>
    <row r="33" spans="1:13" s="5" customFormat="1" x14ac:dyDescent="0.25">
      <c r="A33" s="8">
        <f t="shared" ref="A33:A96" si="1">A32+1</f>
        <v>32</v>
      </c>
      <c r="B33" s="32" t="s">
        <v>762</v>
      </c>
      <c r="C33" s="85" t="s">
        <v>12</v>
      </c>
      <c r="D33" s="9" t="s">
        <v>13</v>
      </c>
      <c r="E33" s="9" t="s">
        <v>14</v>
      </c>
      <c r="F33" s="10" t="s">
        <v>35</v>
      </c>
      <c r="G33" s="11" t="s">
        <v>15</v>
      </c>
      <c r="H33" s="9" t="s">
        <v>63</v>
      </c>
      <c r="I33" s="87"/>
      <c r="K33" s="172"/>
      <c r="L33" s="42"/>
      <c r="M33" s="172"/>
    </row>
    <row r="34" spans="1:13" s="5" customFormat="1" x14ac:dyDescent="0.25">
      <c r="A34" s="39">
        <f t="shared" si="1"/>
        <v>33</v>
      </c>
      <c r="B34" s="45" t="s">
        <v>762</v>
      </c>
      <c r="C34" s="87" t="s">
        <v>12</v>
      </c>
      <c r="D34" s="5" t="s">
        <v>13</v>
      </c>
      <c r="E34" s="5" t="s">
        <v>14</v>
      </c>
      <c r="F34" s="43" t="s">
        <v>35</v>
      </c>
      <c r="G34" s="41" t="s">
        <v>15</v>
      </c>
      <c r="H34" s="41" t="s">
        <v>16</v>
      </c>
      <c r="I34" s="87"/>
      <c r="J34" s="5" t="s">
        <v>17</v>
      </c>
      <c r="K34" s="172" t="s">
        <v>46</v>
      </c>
      <c r="L34" s="42" t="s">
        <v>125</v>
      </c>
      <c r="M34" s="172" t="s">
        <v>48</v>
      </c>
    </row>
    <row r="35" spans="1:13" s="5" customFormat="1" x14ac:dyDescent="0.25">
      <c r="A35" s="39">
        <f t="shared" si="1"/>
        <v>34</v>
      </c>
      <c r="B35" s="45" t="s">
        <v>762</v>
      </c>
      <c r="C35" s="87" t="s">
        <v>12</v>
      </c>
      <c r="D35" s="5" t="s">
        <v>13</v>
      </c>
      <c r="E35" s="5" t="s">
        <v>14</v>
      </c>
      <c r="F35" s="43" t="s">
        <v>35</v>
      </c>
      <c r="G35" s="41" t="s">
        <v>15</v>
      </c>
      <c r="H35" s="46" t="s">
        <v>30</v>
      </c>
      <c r="I35" s="87" t="s">
        <v>22</v>
      </c>
      <c r="J35" s="5" t="s">
        <v>17</v>
      </c>
      <c r="K35" s="172" t="s">
        <v>49</v>
      </c>
      <c r="L35" s="42"/>
      <c r="M35" s="172" t="s">
        <v>50</v>
      </c>
    </row>
    <row r="36" spans="1:13" s="5" customFormat="1" x14ac:dyDescent="0.25">
      <c r="A36" s="8">
        <f t="shared" si="1"/>
        <v>35</v>
      </c>
      <c r="B36" s="32" t="s">
        <v>762</v>
      </c>
      <c r="C36" s="85" t="s">
        <v>12</v>
      </c>
      <c r="D36" s="9" t="s">
        <v>13</v>
      </c>
      <c r="E36" s="9" t="s">
        <v>14</v>
      </c>
      <c r="F36" s="10" t="s">
        <v>35</v>
      </c>
      <c r="G36" s="11" t="s">
        <v>15</v>
      </c>
      <c r="H36" s="9" t="s">
        <v>63</v>
      </c>
      <c r="I36" s="87"/>
      <c r="K36" s="172"/>
      <c r="L36" s="42"/>
      <c r="M36" s="172"/>
    </row>
    <row r="37" spans="1:13" s="5" customFormat="1" x14ac:dyDescent="0.25">
      <c r="A37" s="39">
        <f t="shared" si="1"/>
        <v>36</v>
      </c>
      <c r="B37" s="45" t="s">
        <v>762</v>
      </c>
      <c r="C37" s="87" t="s">
        <v>12</v>
      </c>
      <c r="D37" s="5" t="s">
        <v>13</v>
      </c>
      <c r="E37" s="5" t="s">
        <v>14</v>
      </c>
      <c r="F37" s="43" t="s">
        <v>35</v>
      </c>
      <c r="G37" s="41" t="s">
        <v>15</v>
      </c>
      <c r="H37" s="41" t="s">
        <v>16</v>
      </c>
      <c r="I37" s="87"/>
      <c r="K37" s="172" t="s">
        <v>52</v>
      </c>
      <c r="L37" s="42"/>
      <c r="M37" s="172" t="s">
        <v>53</v>
      </c>
    </row>
    <row r="38" spans="1:13" s="5" customFormat="1" x14ac:dyDescent="0.25">
      <c r="A38" s="8">
        <f t="shared" si="1"/>
        <v>37</v>
      </c>
      <c r="B38" s="32" t="s">
        <v>762</v>
      </c>
      <c r="C38" s="85" t="s">
        <v>12</v>
      </c>
      <c r="D38" s="9" t="s">
        <v>13</v>
      </c>
      <c r="E38" s="9" t="s">
        <v>14</v>
      </c>
      <c r="F38" s="10" t="s">
        <v>35</v>
      </c>
      <c r="G38" s="11" t="s">
        <v>15</v>
      </c>
      <c r="H38" s="9" t="s">
        <v>63</v>
      </c>
      <c r="I38" s="87"/>
      <c r="K38" s="172"/>
      <c r="L38" s="42"/>
      <c r="M38" s="172"/>
    </row>
    <row r="39" spans="1:13" s="5" customFormat="1" x14ac:dyDescent="0.25">
      <c r="A39" s="39">
        <f t="shared" si="1"/>
        <v>38</v>
      </c>
      <c r="B39" s="45" t="s">
        <v>762</v>
      </c>
      <c r="C39" s="87" t="s">
        <v>12</v>
      </c>
      <c r="D39" s="5" t="s">
        <v>13</v>
      </c>
      <c r="E39" s="5" t="s">
        <v>14</v>
      </c>
      <c r="F39" s="43" t="s">
        <v>35</v>
      </c>
      <c r="G39" s="41" t="s">
        <v>15</v>
      </c>
      <c r="H39" s="41" t="s">
        <v>16</v>
      </c>
      <c r="I39" s="87"/>
      <c r="J39" s="5" t="s">
        <v>17</v>
      </c>
      <c r="K39" s="172" t="s">
        <v>152</v>
      </c>
      <c r="M39" s="172" t="s">
        <v>55</v>
      </c>
    </row>
    <row r="40" spans="1:13" s="5" customFormat="1" x14ac:dyDescent="0.25">
      <c r="A40" s="39">
        <f t="shared" si="1"/>
        <v>39</v>
      </c>
      <c r="B40" s="45" t="s">
        <v>762</v>
      </c>
      <c r="C40" s="87" t="s">
        <v>12</v>
      </c>
      <c r="D40" s="5" t="s">
        <v>13</v>
      </c>
      <c r="E40" s="5" t="s">
        <v>14</v>
      </c>
      <c r="F40" s="43" t="s">
        <v>35</v>
      </c>
      <c r="G40" s="41" t="s">
        <v>15</v>
      </c>
      <c r="H40" s="46" t="s">
        <v>26</v>
      </c>
      <c r="I40" s="87" t="s">
        <v>56</v>
      </c>
      <c r="K40" s="172"/>
      <c r="L40" s="42"/>
      <c r="M40" s="172"/>
    </row>
    <row r="41" spans="1:13" s="5" customFormat="1" x14ac:dyDescent="0.25">
      <c r="A41" s="39">
        <f t="shared" si="1"/>
        <v>40</v>
      </c>
      <c r="B41" s="45" t="s">
        <v>762</v>
      </c>
      <c r="C41" s="87" t="s">
        <v>12</v>
      </c>
      <c r="D41" s="5" t="s">
        <v>13</v>
      </c>
      <c r="E41" s="5" t="s">
        <v>14</v>
      </c>
      <c r="F41" s="43" t="s">
        <v>35</v>
      </c>
      <c r="G41" s="41" t="s">
        <v>15</v>
      </c>
      <c r="H41" s="46" t="s">
        <v>26</v>
      </c>
      <c r="I41" s="87" t="s">
        <v>56</v>
      </c>
      <c r="K41" s="172"/>
      <c r="L41" s="42"/>
      <c r="M41" s="172"/>
    </row>
    <row r="42" spans="1:13" s="5" customFormat="1" x14ac:dyDescent="0.25">
      <c r="A42" s="14">
        <f t="shared" si="1"/>
        <v>41</v>
      </c>
      <c r="B42" s="33" t="s">
        <v>762</v>
      </c>
      <c r="C42" s="86" t="s">
        <v>12</v>
      </c>
      <c r="D42" s="15" t="s">
        <v>13</v>
      </c>
      <c r="E42" s="15" t="s">
        <v>14</v>
      </c>
      <c r="F42" s="17" t="s">
        <v>35</v>
      </c>
      <c r="G42" s="18" t="s">
        <v>15</v>
      </c>
      <c r="H42" s="19" t="s">
        <v>122</v>
      </c>
      <c r="I42" s="86"/>
      <c r="J42" s="15"/>
      <c r="K42" s="24"/>
      <c r="L42" s="20"/>
      <c r="M42" s="24"/>
    </row>
    <row r="43" spans="1:13" s="5" customFormat="1" x14ac:dyDescent="0.25">
      <c r="A43" s="39">
        <f t="shared" si="1"/>
        <v>42</v>
      </c>
      <c r="B43" s="45" t="s">
        <v>762</v>
      </c>
      <c r="C43" s="87" t="s">
        <v>12</v>
      </c>
      <c r="D43" s="5" t="s">
        <v>13</v>
      </c>
      <c r="E43" s="5" t="s">
        <v>14</v>
      </c>
      <c r="F43" s="43" t="s">
        <v>35</v>
      </c>
      <c r="G43" s="41" t="s">
        <v>15</v>
      </c>
      <c r="H43" s="41" t="s">
        <v>16</v>
      </c>
      <c r="I43" s="87"/>
      <c r="J43" s="5" t="s">
        <v>17</v>
      </c>
      <c r="K43" s="172" t="s">
        <v>58</v>
      </c>
      <c r="L43" s="42" t="s">
        <v>47</v>
      </c>
      <c r="M43" s="172"/>
    </row>
    <row r="44" spans="1:13" s="5" customFormat="1" x14ac:dyDescent="0.25">
      <c r="A44" s="39">
        <f t="shared" si="1"/>
        <v>43</v>
      </c>
      <c r="B44" s="45" t="s">
        <v>762</v>
      </c>
      <c r="C44" s="87" t="s">
        <v>12</v>
      </c>
      <c r="D44" s="5" t="s">
        <v>13</v>
      </c>
      <c r="E44" s="5" t="s">
        <v>14</v>
      </c>
      <c r="F44" s="43" t="s">
        <v>35</v>
      </c>
      <c r="G44" s="41" t="s">
        <v>15</v>
      </c>
      <c r="H44" s="41" t="s">
        <v>16</v>
      </c>
      <c r="I44" s="87"/>
      <c r="J44" s="5" t="s">
        <v>17</v>
      </c>
      <c r="K44" s="172" t="s">
        <v>59</v>
      </c>
      <c r="L44" s="42"/>
      <c r="M44" s="172" t="s">
        <v>60</v>
      </c>
    </row>
    <row r="45" spans="1:13" s="5" customFormat="1" ht="30" x14ac:dyDescent="0.25">
      <c r="A45" s="39">
        <f t="shared" si="1"/>
        <v>44</v>
      </c>
      <c r="B45" s="45" t="s">
        <v>762</v>
      </c>
      <c r="C45" s="87" t="s">
        <v>12</v>
      </c>
      <c r="D45" s="5" t="s">
        <v>13</v>
      </c>
      <c r="E45" s="5" t="s">
        <v>14</v>
      </c>
      <c r="F45" s="43" t="s">
        <v>35</v>
      </c>
      <c r="G45" s="41" t="s">
        <v>15</v>
      </c>
      <c r="H45" s="46" t="s">
        <v>30</v>
      </c>
      <c r="I45" s="87" t="s">
        <v>22</v>
      </c>
      <c r="J45" s="5" t="s">
        <v>17</v>
      </c>
      <c r="K45" s="172" t="s">
        <v>61</v>
      </c>
      <c r="L45" s="42" t="s">
        <v>779</v>
      </c>
      <c r="M45" s="172" t="s">
        <v>62</v>
      </c>
    </row>
    <row r="46" spans="1:13" s="5" customFormat="1" x14ac:dyDescent="0.25">
      <c r="A46" s="8">
        <f t="shared" si="1"/>
        <v>45</v>
      </c>
      <c r="B46" s="32" t="s">
        <v>762</v>
      </c>
      <c r="C46" s="85" t="s">
        <v>12</v>
      </c>
      <c r="D46" s="9" t="s">
        <v>13</v>
      </c>
      <c r="E46" s="9" t="s">
        <v>14</v>
      </c>
      <c r="F46" s="10" t="s">
        <v>35</v>
      </c>
      <c r="G46" s="11" t="s">
        <v>15</v>
      </c>
      <c r="H46" s="21" t="s">
        <v>63</v>
      </c>
      <c r="I46" s="87"/>
      <c r="K46" s="172"/>
      <c r="L46" s="42"/>
      <c r="M46" s="172"/>
    </row>
    <row r="47" spans="1:13" s="5" customFormat="1" x14ac:dyDescent="0.25">
      <c r="A47" s="39">
        <f t="shared" si="1"/>
        <v>46</v>
      </c>
      <c r="B47" s="45" t="s">
        <v>762</v>
      </c>
      <c r="C47" s="87" t="s">
        <v>12</v>
      </c>
      <c r="D47" s="5" t="s">
        <v>13</v>
      </c>
      <c r="E47" s="5" t="s">
        <v>14</v>
      </c>
      <c r="F47" s="43" t="s">
        <v>35</v>
      </c>
      <c r="G47" s="41" t="s">
        <v>15</v>
      </c>
      <c r="H47" s="41" t="s">
        <v>16</v>
      </c>
      <c r="I47" s="87"/>
      <c r="J47" s="5" t="s">
        <v>17</v>
      </c>
      <c r="K47" s="172" t="s">
        <v>64</v>
      </c>
      <c r="L47" s="42"/>
      <c r="M47" s="172" t="s">
        <v>65</v>
      </c>
    </row>
    <row r="48" spans="1:13" s="5" customFormat="1" x14ac:dyDescent="0.25">
      <c r="A48" s="192">
        <f t="shared" si="1"/>
        <v>47</v>
      </c>
      <c r="B48" s="195" t="s">
        <v>762</v>
      </c>
      <c r="C48" s="194" t="s">
        <v>12</v>
      </c>
      <c r="D48" s="193" t="s">
        <v>13</v>
      </c>
      <c r="E48" s="193" t="s">
        <v>14</v>
      </c>
      <c r="F48" s="196" t="s">
        <v>35</v>
      </c>
      <c r="G48" s="197" t="s">
        <v>15</v>
      </c>
      <c r="H48" s="197" t="s">
        <v>849</v>
      </c>
      <c r="I48" s="87"/>
      <c r="K48" s="172"/>
      <c r="L48" s="42"/>
      <c r="M48" s="172"/>
    </row>
    <row r="49" spans="1:13" s="5" customFormat="1" x14ac:dyDescent="0.25">
      <c r="A49" s="39">
        <f t="shared" si="1"/>
        <v>48</v>
      </c>
      <c r="B49" s="45" t="s">
        <v>762</v>
      </c>
      <c r="C49" s="87" t="s">
        <v>12</v>
      </c>
      <c r="D49" s="5" t="s">
        <v>13</v>
      </c>
      <c r="E49" s="5" t="s">
        <v>14</v>
      </c>
      <c r="F49" s="43" t="s">
        <v>35</v>
      </c>
      <c r="G49" s="41" t="s">
        <v>15</v>
      </c>
      <c r="H49" s="46" t="s">
        <v>26</v>
      </c>
      <c r="I49" s="87" t="s">
        <v>68</v>
      </c>
      <c r="K49" s="172"/>
      <c r="L49" s="42"/>
      <c r="M49" s="172"/>
    </row>
    <row r="50" spans="1:13" s="5" customFormat="1" x14ac:dyDescent="0.25">
      <c r="A50" s="39">
        <f t="shared" si="1"/>
        <v>49</v>
      </c>
      <c r="B50" s="45" t="s">
        <v>762</v>
      </c>
      <c r="C50" s="87" t="s">
        <v>12</v>
      </c>
      <c r="D50" s="5" t="s">
        <v>13</v>
      </c>
      <c r="E50" s="5" t="s">
        <v>14</v>
      </c>
      <c r="F50" s="43" t="s">
        <v>734</v>
      </c>
      <c r="G50" s="41" t="s">
        <v>15</v>
      </c>
      <c r="H50" s="46" t="s">
        <v>26</v>
      </c>
      <c r="I50" s="87" t="s">
        <v>22</v>
      </c>
      <c r="K50" s="44"/>
      <c r="M50" s="44"/>
    </row>
    <row r="51" spans="1:13" s="5" customFormat="1" x14ac:dyDescent="0.25">
      <c r="A51" s="39">
        <f t="shared" si="1"/>
        <v>50</v>
      </c>
      <c r="B51" s="45" t="s">
        <v>762</v>
      </c>
      <c r="C51" s="87" t="s">
        <v>12</v>
      </c>
      <c r="D51" s="5" t="s">
        <v>13</v>
      </c>
      <c r="E51" s="5" t="s">
        <v>14</v>
      </c>
      <c r="F51" s="43" t="s">
        <v>734</v>
      </c>
      <c r="G51" s="41" t="s">
        <v>15</v>
      </c>
      <c r="H51" s="46" t="s">
        <v>26</v>
      </c>
      <c r="I51" s="87" t="s">
        <v>68</v>
      </c>
      <c r="K51" s="44"/>
      <c r="M51" s="44"/>
    </row>
    <row r="52" spans="1:13" s="5" customFormat="1" x14ac:dyDescent="0.25">
      <c r="A52" s="39">
        <f t="shared" si="1"/>
        <v>51</v>
      </c>
      <c r="B52" s="45" t="s">
        <v>762</v>
      </c>
      <c r="C52" s="87" t="s">
        <v>12</v>
      </c>
      <c r="D52" s="5" t="s">
        <v>13</v>
      </c>
      <c r="E52" s="5" t="s">
        <v>14</v>
      </c>
      <c r="F52" s="43" t="s">
        <v>734</v>
      </c>
      <c r="G52" s="41" t="s">
        <v>15</v>
      </c>
      <c r="H52" s="46" t="s">
        <v>26</v>
      </c>
      <c r="I52" s="87" t="s">
        <v>68</v>
      </c>
      <c r="K52" s="44"/>
      <c r="M52" s="44"/>
    </row>
    <row r="53" spans="1:13" s="5" customFormat="1" x14ac:dyDescent="0.25">
      <c r="A53" s="39">
        <f t="shared" si="1"/>
        <v>52</v>
      </c>
      <c r="B53" s="45" t="s">
        <v>762</v>
      </c>
      <c r="C53" s="87" t="s">
        <v>12</v>
      </c>
      <c r="D53" s="5" t="s">
        <v>13</v>
      </c>
      <c r="E53" s="5" t="s">
        <v>14</v>
      </c>
      <c r="F53" s="43" t="s">
        <v>734</v>
      </c>
      <c r="G53" s="41" t="s">
        <v>15</v>
      </c>
      <c r="H53" s="46" t="s">
        <v>26</v>
      </c>
      <c r="I53" s="87" t="s">
        <v>69</v>
      </c>
      <c r="K53" s="44"/>
      <c r="M53" s="44"/>
    </row>
    <row r="54" spans="1:13" s="5" customFormat="1" x14ac:dyDescent="0.25">
      <c r="A54" s="39">
        <f t="shared" si="1"/>
        <v>53</v>
      </c>
      <c r="B54" s="45" t="s">
        <v>762</v>
      </c>
      <c r="C54" s="87" t="s">
        <v>12</v>
      </c>
      <c r="D54" s="5" t="s">
        <v>13</v>
      </c>
      <c r="E54" s="5" t="s">
        <v>14</v>
      </c>
      <c r="F54" s="43" t="s">
        <v>734</v>
      </c>
      <c r="G54" s="41" t="s">
        <v>15</v>
      </c>
      <c r="H54" s="46" t="s">
        <v>26</v>
      </c>
      <c r="I54" s="87" t="s">
        <v>68</v>
      </c>
      <c r="K54" s="44"/>
      <c r="M54" s="44"/>
    </row>
    <row r="55" spans="1:13" s="5" customFormat="1" x14ac:dyDescent="0.25">
      <c r="A55" s="39">
        <f t="shared" si="1"/>
        <v>54</v>
      </c>
      <c r="B55" s="45" t="s">
        <v>762</v>
      </c>
      <c r="C55" s="87" t="s">
        <v>12</v>
      </c>
      <c r="D55" s="5" t="s">
        <v>13</v>
      </c>
      <c r="E55" s="5" t="s">
        <v>14</v>
      </c>
      <c r="F55" s="43" t="s">
        <v>734</v>
      </c>
      <c r="G55" s="41" t="s">
        <v>15</v>
      </c>
      <c r="H55" s="46" t="s">
        <v>30</v>
      </c>
      <c r="I55" s="87" t="s">
        <v>68</v>
      </c>
      <c r="J55" s="5" t="s">
        <v>71</v>
      </c>
      <c r="K55" s="44" t="s">
        <v>72</v>
      </c>
      <c r="L55" s="5" t="s">
        <v>47</v>
      </c>
      <c r="M55" s="44" t="s">
        <v>73</v>
      </c>
    </row>
    <row r="56" spans="1:13" s="5" customFormat="1" x14ac:dyDescent="0.25">
      <c r="A56" s="39">
        <f t="shared" si="1"/>
        <v>55</v>
      </c>
      <c r="B56" s="45" t="s">
        <v>762</v>
      </c>
      <c r="C56" s="87" t="s">
        <v>12</v>
      </c>
      <c r="D56" s="5" t="s">
        <v>13</v>
      </c>
      <c r="E56" s="5" t="s">
        <v>14</v>
      </c>
      <c r="F56" s="43" t="s">
        <v>734</v>
      </c>
      <c r="G56" s="41" t="s">
        <v>15</v>
      </c>
      <c r="H56" s="46" t="s">
        <v>30</v>
      </c>
      <c r="I56" s="87" t="s">
        <v>74</v>
      </c>
      <c r="J56" s="5" t="s">
        <v>75</v>
      </c>
      <c r="K56" s="44" t="s">
        <v>76</v>
      </c>
      <c r="M56" s="44" t="s">
        <v>77</v>
      </c>
    </row>
    <row r="57" spans="1:13" s="5" customFormat="1" x14ac:dyDescent="0.25">
      <c r="A57" s="39">
        <f t="shared" si="1"/>
        <v>56</v>
      </c>
      <c r="B57" s="45" t="s">
        <v>762</v>
      </c>
      <c r="C57" s="87" t="s">
        <v>12</v>
      </c>
      <c r="D57" s="5" t="s">
        <v>13</v>
      </c>
      <c r="E57" s="5" t="s">
        <v>14</v>
      </c>
      <c r="F57" s="43" t="s">
        <v>734</v>
      </c>
      <c r="G57" s="41" t="s">
        <v>15</v>
      </c>
      <c r="H57" s="46" t="s">
        <v>26</v>
      </c>
      <c r="I57" s="87" t="s">
        <v>22</v>
      </c>
      <c r="K57" s="44"/>
      <c r="M57" s="44"/>
    </row>
    <row r="58" spans="1:13" s="5" customFormat="1" x14ac:dyDescent="0.25">
      <c r="A58" s="39">
        <f t="shared" si="1"/>
        <v>57</v>
      </c>
      <c r="B58" s="45" t="s">
        <v>762</v>
      </c>
      <c r="C58" s="87" t="s">
        <v>12</v>
      </c>
      <c r="D58" s="5" t="s">
        <v>13</v>
      </c>
      <c r="E58" s="5" t="s">
        <v>14</v>
      </c>
      <c r="F58" s="43" t="s">
        <v>734</v>
      </c>
      <c r="G58" s="41" t="s">
        <v>15</v>
      </c>
      <c r="H58" s="41" t="s">
        <v>30</v>
      </c>
      <c r="I58" s="87" t="s">
        <v>22</v>
      </c>
      <c r="J58" s="44" t="s">
        <v>17</v>
      </c>
      <c r="K58" s="172" t="s">
        <v>18</v>
      </c>
      <c r="L58" s="42" t="s">
        <v>125</v>
      </c>
      <c r="M58" s="44" t="s">
        <v>78</v>
      </c>
    </row>
    <row r="59" spans="1:13" s="5" customFormat="1" x14ac:dyDescent="0.25">
      <c r="A59" s="39">
        <f t="shared" si="1"/>
        <v>58</v>
      </c>
      <c r="B59" s="45" t="s">
        <v>762</v>
      </c>
      <c r="C59" s="87" t="s">
        <v>12</v>
      </c>
      <c r="D59" s="5" t="s">
        <v>13</v>
      </c>
      <c r="E59" s="5" t="s">
        <v>14</v>
      </c>
      <c r="F59" s="43" t="s">
        <v>734</v>
      </c>
      <c r="G59" s="41" t="s">
        <v>15</v>
      </c>
      <c r="H59" s="41" t="s">
        <v>30</v>
      </c>
      <c r="I59" s="87" t="s">
        <v>22</v>
      </c>
      <c r="J59" s="44" t="s">
        <v>17</v>
      </c>
      <c r="K59" s="172" t="s">
        <v>18</v>
      </c>
      <c r="L59" s="42" t="s">
        <v>125</v>
      </c>
      <c r="M59" s="44" t="s">
        <v>48</v>
      </c>
    </row>
    <row r="60" spans="1:13" s="5" customFormat="1" x14ac:dyDescent="0.25">
      <c r="A60" s="39">
        <f t="shared" si="1"/>
        <v>59</v>
      </c>
      <c r="B60" s="45" t="s">
        <v>762</v>
      </c>
      <c r="C60" s="87" t="s">
        <v>12</v>
      </c>
      <c r="D60" s="5" t="s">
        <v>13</v>
      </c>
      <c r="E60" s="5" t="s">
        <v>14</v>
      </c>
      <c r="F60" s="43" t="s">
        <v>734</v>
      </c>
      <c r="G60" s="41" t="s">
        <v>15</v>
      </c>
      <c r="H60" s="46" t="s">
        <v>30</v>
      </c>
      <c r="I60" s="87" t="s">
        <v>27</v>
      </c>
      <c r="J60" s="5" t="s">
        <v>17</v>
      </c>
      <c r="K60" s="44" t="s">
        <v>782</v>
      </c>
      <c r="L60" s="5" t="s">
        <v>80</v>
      </c>
      <c r="M60" s="44" t="s">
        <v>81</v>
      </c>
    </row>
    <row r="61" spans="1:13" s="5" customFormat="1" x14ac:dyDescent="0.25">
      <c r="A61" s="39">
        <f t="shared" si="1"/>
        <v>60</v>
      </c>
      <c r="B61" s="45" t="s">
        <v>762</v>
      </c>
      <c r="C61" s="87" t="s">
        <v>12</v>
      </c>
      <c r="D61" s="5" t="s">
        <v>13</v>
      </c>
      <c r="E61" s="5" t="s">
        <v>14</v>
      </c>
      <c r="F61" s="43" t="s">
        <v>734</v>
      </c>
      <c r="G61" s="41" t="s">
        <v>15</v>
      </c>
      <c r="H61" s="41" t="s">
        <v>16</v>
      </c>
      <c r="I61" s="87"/>
      <c r="J61" s="5" t="s">
        <v>17</v>
      </c>
      <c r="K61" s="44" t="s">
        <v>782</v>
      </c>
      <c r="L61" s="5" t="s">
        <v>80</v>
      </c>
      <c r="M61" s="44" t="s">
        <v>81</v>
      </c>
    </row>
    <row r="62" spans="1:13" s="5" customFormat="1" x14ac:dyDescent="0.25">
      <c r="A62" s="14">
        <f t="shared" si="1"/>
        <v>61</v>
      </c>
      <c r="B62" s="33" t="s">
        <v>762</v>
      </c>
      <c r="C62" s="86" t="s">
        <v>12</v>
      </c>
      <c r="D62" s="15" t="s">
        <v>13</v>
      </c>
      <c r="E62" s="15" t="s">
        <v>14</v>
      </c>
      <c r="F62" s="17" t="s">
        <v>734</v>
      </c>
      <c r="G62" s="18" t="s">
        <v>15</v>
      </c>
      <c r="H62" s="19" t="s">
        <v>122</v>
      </c>
      <c r="I62" s="86"/>
      <c r="J62" s="15"/>
      <c r="K62" s="16"/>
      <c r="L62" s="15"/>
      <c r="M62" s="16"/>
    </row>
    <row r="63" spans="1:13" s="5" customFormat="1" x14ac:dyDescent="0.25">
      <c r="A63" s="39">
        <f t="shared" si="1"/>
        <v>62</v>
      </c>
      <c r="B63" s="45" t="s">
        <v>762</v>
      </c>
      <c r="C63" s="87" t="s">
        <v>12</v>
      </c>
      <c r="D63" s="5" t="s">
        <v>13</v>
      </c>
      <c r="E63" s="5" t="s">
        <v>14</v>
      </c>
      <c r="F63" s="43" t="s">
        <v>734</v>
      </c>
      <c r="G63" s="41" t="s">
        <v>15</v>
      </c>
      <c r="H63" s="41" t="s">
        <v>16</v>
      </c>
      <c r="I63" s="87"/>
      <c r="J63" s="5" t="s">
        <v>17</v>
      </c>
      <c r="K63" s="172" t="s">
        <v>152</v>
      </c>
      <c r="M63" s="44" t="s">
        <v>84</v>
      </c>
    </row>
    <row r="64" spans="1:13" s="5" customFormat="1" x14ac:dyDescent="0.25">
      <c r="A64" s="39">
        <f t="shared" si="1"/>
        <v>63</v>
      </c>
      <c r="B64" s="45" t="s">
        <v>762</v>
      </c>
      <c r="C64" s="87" t="s">
        <v>12</v>
      </c>
      <c r="D64" s="5" t="s">
        <v>13</v>
      </c>
      <c r="E64" s="5" t="s">
        <v>14</v>
      </c>
      <c r="F64" s="43" t="s">
        <v>734</v>
      </c>
      <c r="G64" s="41" t="s">
        <v>15</v>
      </c>
      <c r="H64" s="41" t="s">
        <v>30</v>
      </c>
      <c r="I64" s="87" t="s">
        <v>85</v>
      </c>
      <c r="J64" s="5" t="s">
        <v>86</v>
      </c>
      <c r="K64" s="172" t="s">
        <v>83</v>
      </c>
      <c r="L64" s="5" t="s">
        <v>840</v>
      </c>
      <c r="M64" s="44" t="s">
        <v>78</v>
      </c>
    </row>
    <row r="65" spans="1:13" s="5" customFormat="1" x14ac:dyDescent="0.25">
      <c r="A65" s="39">
        <f t="shared" si="1"/>
        <v>64</v>
      </c>
      <c r="B65" s="45" t="s">
        <v>762</v>
      </c>
      <c r="C65" s="87" t="s">
        <v>12</v>
      </c>
      <c r="D65" s="5" t="s">
        <v>13</v>
      </c>
      <c r="E65" s="5" t="s">
        <v>14</v>
      </c>
      <c r="F65" s="43" t="s">
        <v>734</v>
      </c>
      <c r="G65" s="41" t="s">
        <v>15</v>
      </c>
      <c r="H65" s="41" t="s">
        <v>30</v>
      </c>
      <c r="I65" s="87" t="s">
        <v>22</v>
      </c>
      <c r="J65" s="5" t="s">
        <v>86</v>
      </c>
      <c r="K65" s="172" t="s">
        <v>59</v>
      </c>
      <c r="L65" s="42"/>
      <c r="M65" s="44" t="s">
        <v>87</v>
      </c>
    </row>
    <row r="66" spans="1:13" s="5" customFormat="1" x14ac:dyDescent="0.25">
      <c r="A66" s="39">
        <f t="shared" si="1"/>
        <v>65</v>
      </c>
      <c r="B66" s="45" t="s">
        <v>762</v>
      </c>
      <c r="C66" s="87" t="s">
        <v>12</v>
      </c>
      <c r="D66" s="5" t="s">
        <v>13</v>
      </c>
      <c r="E66" s="5" t="s">
        <v>14</v>
      </c>
      <c r="F66" s="43" t="s">
        <v>734</v>
      </c>
      <c r="G66" s="41" t="s">
        <v>15</v>
      </c>
      <c r="H66" s="41" t="s">
        <v>30</v>
      </c>
      <c r="I66" s="87" t="s">
        <v>22</v>
      </c>
      <c r="J66" s="5" t="s">
        <v>17</v>
      </c>
      <c r="K66" s="172" t="s">
        <v>88</v>
      </c>
      <c r="L66" s="5" t="s">
        <v>33</v>
      </c>
      <c r="M66" s="44" t="s">
        <v>89</v>
      </c>
    </row>
    <row r="67" spans="1:13" s="5" customFormat="1" x14ac:dyDescent="0.25">
      <c r="A67" s="39">
        <f t="shared" si="1"/>
        <v>66</v>
      </c>
      <c r="B67" s="45" t="s">
        <v>762</v>
      </c>
      <c r="C67" s="87" t="s">
        <v>12</v>
      </c>
      <c r="D67" s="5" t="s">
        <v>13</v>
      </c>
      <c r="E67" s="5" t="s">
        <v>14</v>
      </c>
      <c r="F67" s="43" t="s">
        <v>734</v>
      </c>
      <c r="G67" s="41" t="s">
        <v>15</v>
      </c>
      <c r="H67" s="41" t="s">
        <v>16</v>
      </c>
      <c r="I67" s="87"/>
      <c r="J67" s="44" t="s">
        <v>71</v>
      </c>
      <c r="K67" s="172" t="s">
        <v>18</v>
      </c>
      <c r="L67" s="42" t="s">
        <v>125</v>
      </c>
      <c r="M67" s="44" t="s">
        <v>48</v>
      </c>
    </row>
    <row r="68" spans="1:13" s="5" customFormat="1" x14ac:dyDescent="0.25">
      <c r="A68" s="39">
        <f t="shared" si="1"/>
        <v>67</v>
      </c>
      <c r="B68" s="45" t="s">
        <v>762</v>
      </c>
      <c r="C68" s="87" t="s">
        <v>12</v>
      </c>
      <c r="D68" s="5" t="s">
        <v>13</v>
      </c>
      <c r="E68" s="5" t="s">
        <v>14</v>
      </c>
      <c r="F68" s="43" t="s">
        <v>734</v>
      </c>
      <c r="G68" s="41" t="s">
        <v>15</v>
      </c>
      <c r="H68" s="46" t="s">
        <v>30</v>
      </c>
      <c r="I68" s="87" t="s">
        <v>22</v>
      </c>
      <c r="J68" s="5" t="s">
        <v>71</v>
      </c>
      <c r="K68" s="44" t="s">
        <v>90</v>
      </c>
      <c r="L68" s="5" t="s">
        <v>33</v>
      </c>
      <c r="M68" s="44" t="s">
        <v>91</v>
      </c>
    </row>
    <row r="69" spans="1:13" s="5" customFormat="1" x14ac:dyDescent="0.25">
      <c r="A69" s="39">
        <f t="shared" si="1"/>
        <v>68</v>
      </c>
      <c r="B69" s="45" t="s">
        <v>762</v>
      </c>
      <c r="C69" s="87" t="s">
        <v>12</v>
      </c>
      <c r="D69" s="5" t="s">
        <v>13</v>
      </c>
      <c r="E69" s="5" t="s">
        <v>14</v>
      </c>
      <c r="F69" s="43" t="s">
        <v>734</v>
      </c>
      <c r="G69" s="41" t="s">
        <v>15</v>
      </c>
      <c r="H69" s="46" t="s">
        <v>26</v>
      </c>
      <c r="I69" s="87" t="s">
        <v>22</v>
      </c>
      <c r="J69" s="5" t="s">
        <v>71</v>
      </c>
      <c r="K69" s="44" t="s">
        <v>92</v>
      </c>
      <c r="M69" s="44" t="s">
        <v>94</v>
      </c>
    </row>
    <row r="70" spans="1:13" s="5" customFormat="1" x14ac:dyDescent="0.25">
      <c r="A70" s="39">
        <f t="shared" si="1"/>
        <v>69</v>
      </c>
      <c r="B70" s="45" t="s">
        <v>762</v>
      </c>
      <c r="C70" s="87" t="s">
        <v>12</v>
      </c>
      <c r="D70" s="5" t="s">
        <v>13</v>
      </c>
      <c r="E70" s="5" t="s">
        <v>14</v>
      </c>
      <c r="F70" s="43" t="s">
        <v>734</v>
      </c>
      <c r="G70" s="41" t="s">
        <v>15</v>
      </c>
      <c r="H70" s="41" t="s">
        <v>26</v>
      </c>
      <c r="I70" s="87" t="s">
        <v>22</v>
      </c>
      <c r="K70" s="172"/>
      <c r="M70" s="44"/>
    </row>
    <row r="71" spans="1:13" s="5" customFormat="1" x14ac:dyDescent="0.25">
      <c r="A71" s="39">
        <f t="shared" si="1"/>
        <v>70</v>
      </c>
      <c r="B71" s="45" t="s">
        <v>762</v>
      </c>
      <c r="C71" s="87" t="s">
        <v>12</v>
      </c>
      <c r="D71" s="5" t="s">
        <v>13</v>
      </c>
      <c r="E71" s="5" t="s">
        <v>14</v>
      </c>
      <c r="F71" s="43" t="s">
        <v>734</v>
      </c>
      <c r="G71" s="41" t="s">
        <v>15</v>
      </c>
      <c r="H71" s="46" t="s">
        <v>26</v>
      </c>
      <c r="I71" s="87" t="s">
        <v>22</v>
      </c>
      <c r="K71" s="44"/>
      <c r="M71" s="44"/>
    </row>
    <row r="72" spans="1:13" s="5" customFormat="1" x14ac:dyDescent="0.25">
      <c r="A72" s="39">
        <f t="shared" si="1"/>
        <v>71</v>
      </c>
      <c r="B72" s="45" t="s">
        <v>762</v>
      </c>
      <c r="C72" s="87" t="s">
        <v>12</v>
      </c>
      <c r="D72" s="5" t="s">
        <v>13</v>
      </c>
      <c r="E72" s="5" t="s">
        <v>14</v>
      </c>
      <c r="F72" s="43" t="s">
        <v>734</v>
      </c>
      <c r="G72" s="41" t="s">
        <v>15</v>
      </c>
      <c r="H72" s="46" t="s">
        <v>26</v>
      </c>
      <c r="I72" s="87" t="s">
        <v>22</v>
      </c>
      <c r="K72" s="44"/>
      <c r="M72" s="44"/>
    </row>
    <row r="73" spans="1:13" s="5" customFormat="1" x14ac:dyDescent="0.25">
      <c r="A73" s="39">
        <f t="shared" si="1"/>
        <v>72</v>
      </c>
      <c r="B73" s="45" t="s">
        <v>762</v>
      </c>
      <c r="C73" s="87" t="s">
        <v>12</v>
      </c>
      <c r="D73" s="5" t="s">
        <v>13</v>
      </c>
      <c r="E73" s="5" t="s">
        <v>14</v>
      </c>
      <c r="F73" s="43" t="s">
        <v>734</v>
      </c>
      <c r="G73" s="41" t="s">
        <v>96</v>
      </c>
      <c r="H73" s="41" t="s">
        <v>16</v>
      </c>
      <c r="I73" s="87"/>
      <c r="J73" s="44" t="s">
        <v>17</v>
      </c>
      <c r="K73" s="172" t="s">
        <v>18</v>
      </c>
      <c r="L73" s="42" t="s">
        <v>125</v>
      </c>
      <c r="M73" s="44" t="s">
        <v>97</v>
      </c>
    </row>
    <row r="74" spans="1:13" s="5" customFormat="1" x14ac:dyDescent="0.25">
      <c r="A74" s="39">
        <f t="shared" si="1"/>
        <v>73</v>
      </c>
      <c r="B74" s="45" t="s">
        <v>762</v>
      </c>
      <c r="C74" s="87" t="s">
        <v>12</v>
      </c>
      <c r="D74" s="5" t="s">
        <v>13</v>
      </c>
      <c r="E74" s="5" t="s">
        <v>14</v>
      </c>
      <c r="F74" s="43" t="s">
        <v>734</v>
      </c>
      <c r="G74" s="41" t="s">
        <v>98</v>
      </c>
      <c r="H74" s="46" t="s">
        <v>30</v>
      </c>
      <c r="I74" s="87" t="s">
        <v>22</v>
      </c>
      <c r="J74" s="5" t="s">
        <v>17</v>
      </c>
      <c r="K74" s="172" t="s">
        <v>152</v>
      </c>
      <c r="M74" s="172" t="s">
        <v>99</v>
      </c>
    </row>
    <row r="75" spans="1:13" s="5" customFormat="1" x14ac:dyDescent="0.25">
      <c r="A75" s="39">
        <f t="shared" si="1"/>
        <v>74</v>
      </c>
      <c r="B75" s="45" t="s">
        <v>762</v>
      </c>
      <c r="C75" s="87" t="s">
        <v>12</v>
      </c>
      <c r="D75" s="5" t="s">
        <v>13</v>
      </c>
      <c r="E75" s="5" t="s">
        <v>14</v>
      </c>
      <c r="F75" s="43" t="s">
        <v>734</v>
      </c>
      <c r="G75" s="41" t="s">
        <v>15</v>
      </c>
      <c r="H75" s="46" t="s">
        <v>30</v>
      </c>
      <c r="I75" s="87" t="s">
        <v>22</v>
      </c>
      <c r="J75" s="5" t="s">
        <v>17</v>
      </c>
      <c r="K75" s="44" t="s">
        <v>120</v>
      </c>
      <c r="L75" s="5" t="s">
        <v>114</v>
      </c>
      <c r="M75" s="44" t="s">
        <v>100</v>
      </c>
    </row>
    <row r="76" spans="1:13" s="5" customFormat="1" x14ac:dyDescent="0.25">
      <c r="A76" s="39">
        <f t="shared" si="1"/>
        <v>75</v>
      </c>
      <c r="B76" s="45" t="s">
        <v>762</v>
      </c>
      <c r="C76" s="87" t="s">
        <v>12</v>
      </c>
      <c r="D76" s="5" t="s">
        <v>13</v>
      </c>
      <c r="E76" s="5" t="s">
        <v>14</v>
      </c>
      <c r="F76" s="43" t="s">
        <v>734</v>
      </c>
      <c r="G76" s="41" t="s">
        <v>15</v>
      </c>
      <c r="H76" s="41" t="s">
        <v>30</v>
      </c>
      <c r="I76" s="87" t="s">
        <v>22</v>
      </c>
      <c r="J76" s="5" t="s">
        <v>31</v>
      </c>
      <c r="K76" s="44" t="s">
        <v>101</v>
      </c>
      <c r="M76" s="44" t="s">
        <v>102</v>
      </c>
    </row>
    <row r="77" spans="1:13" s="5" customFormat="1" ht="39.75" customHeight="1" x14ac:dyDescent="0.25">
      <c r="A77" s="39">
        <f t="shared" si="1"/>
        <v>76</v>
      </c>
      <c r="B77" s="45" t="s">
        <v>762</v>
      </c>
      <c r="C77" s="87" t="s">
        <v>12</v>
      </c>
      <c r="D77" s="5" t="s">
        <v>13</v>
      </c>
      <c r="E77" s="5" t="s">
        <v>14</v>
      </c>
      <c r="F77" s="43" t="s">
        <v>734</v>
      </c>
      <c r="G77" s="41" t="s">
        <v>15</v>
      </c>
      <c r="H77" s="41" t="s">
        <v>16</v>
      </c>
      <c r="I77" s="87"/>
      <c r="J77" s="44" t="s">
        <v>17</v>
      </c>
      <c r="K77" s="172" t="s">
        <v>18</v>
      </c>
      <c r="L77" s="42" t="s">
        <v>125</v>
      </c>
      <c r="M77" s="44" t="s">
        <v>103</v>
      </c>
    </row>
    <row r="78" spans="1:13" s="5" customFormat="1" x14ac:dyDescent="0.25">
      <c r="A78" s="39">
        <f t="shared" si="1"/>
        <v>77</v>
      </c>
      <c r="B78" s="45" t="s">
        <v>762</v>
      </c>
      <c r="C78" s="87" t="s">
        <v>12</v>
      </c>
      <c r="D78" s="5" t="s">
        <v>13</v>
      </c>
      <c r="E78" s="5" t="s">
        <v>14</v>
      </c>
      <c r="F78" s="43" t="s">
        <v>734</v>
      </c>
      <c r="G78" s="41" t="s">
        <v>15</v>
      </c>
      <c r="H78" s="46" t="s">
        <v>26</v>
      </c>
      <c r="I78" s="87" t="s">
        <v>22</v>
      </c>
      <c r="K78" s="44"/>
      <c r="M78" s="44"/>
    </row>
    <row r="79" spans="1:13" s="5" customFormat="1" x14ac:dyDescent="0.25">
      <c r="A79" s="39">
        <f t="shared" si="1"/>
        <v>78</v>
      </c>
      <c r="B79" s="45" t="s">
        <v>762</v>
      </c>
      <c r="C79" s="87" t="s">
        <v>12</v>
      </c>
      <c r="D79" s="5" t="s">
        <v>13</v>
      </c>
      <c r="E79" s="5" t="s">
        <v>14</v>
      </c>
      <c r="F79" s="43" t="s">
        <v>734</v>
      </c>
      <c r="G79" s="41" t="s">
        <v>15</v>
      </c>
      <c r="H79" s="46" t="s">
        <v>26</v>
      </c>
      <c r="I79" s="87" t="s">
        <v>22</v>
      </c>
      <c r="K79" s="44"/>
      <c r="M79" s="44"/>
    </row>
    <row r="80" spans="1:13" s="5" customFormat="1" ht="42.75" customHeight="1" x14ac:dyDescent="0.25">
      <c r="A80" s="39">
        <f t="shared" si="1"/>
        <v>79</v>
      </c>
      <c r="B80" s="45" t="s">
        <v>762</v>
      </c>
      <c r="C80" s="87" t="s">
        <v>12</v>
      </c>
      <c r="D80" s="5" t="s">
        <v>13</v>
      </c>
      <c r="E80" s="5" t="s">
        <v>14</v>
      </c>
      <c r="F80" s="43" t="s">
        <v>734</v>
      </c>
      <c r="G80" s="41" t="s">
        <v>15</v>
      </c>
      <c r="H80" s="46" t="s">
        <v>16</v>
      </c>
      <c r="I80" s="42" t="s">
        <v>104</v>
      </c>
      <c r="J80" s="44" t="s">
        <v>17</v>
      </c>
      <c r="K80" s="44" t="s">
        <v>619</v>
      </c>
      <c r="M80" s="44" t="s">
        <v>78</v>
      </c>
    </row>
    <row r="81" spans="1:13" s="5" customFormat="1" x14ac:dyDescent="0.25">
      <c r="A81" s="192">
        <f t="shared" si="1"/>
        <v>80</v>
      </c>
      <c r="B81" s="195" t="s">
        <v>762</v>
      </c>
      <c r="C81" s="194" t="s">
        <v>12</v>
      </c>
      <c r="D81" s="193" t="s">
        <v>13</v>
      </c>
      <c r="E81" s="193" t="s">
        <v>14</v>
      </c>
      <c r="F81" s="196" t="s">
        <v>734</v>
      </c>
      <c r="G81" s="197" t="s">
        <v>15</v>
      </c>
      <c r="H81" s="197" t="s">
        <v>67</v>
      </c>
      <c r="I81" s="87"/>
      <c r="K81" s="44"/>
      <c r="M81" s="44"/>
    </row>
    <row r="82" spans="1:13" s="5" customFormat="1" x14ac:dyDescent="0.25">
      <c r="A82" s="39">
        <f t="shared" si="1"/>
        <v>81</v>
      </c>
      <c r="B82" s="45" t="s">
        <v>762</v>
      </c>
      <c r="C82" s="87" t="s">
        <v>12</v>
      </c>
      <c r="D82" s="5" t="s">
        <v>13</v>
      </c>
      <c r="E82" s="5" t="s">
        <v>14</v>
      </c>
      <c r="F82" s="43" t="s">
        <v>734</v>
      </c>
      <c r="G82" s="41" t="s">
        <v>15</v>
      </c>
      <c r="H82" s="42" t="s">
        <v>30</v>
      </c>
      <c r="I82" s="87" t="s">
        <v>432</v>
      </c>
      <c r="J82" s="5" t="s">
        <v>31</v>
      </c>
      <c r="K82" s="44" t="s">
        <v>771</v>
      </c>
      <c r="L82" s="5" t="s">
        <v>852</v>
      </c>
      <c r="M82" s="44" t="s">
        <v>217</v>
      </c>
    </row>
    <row r="83" spans="1:13" s="5" customFormat="1" x14ac:dyDescent="0.25">
      <c r="A83" s="39">
        <f t="shared" si="1"/>
        <v>82</v>
      </c>
      <c r="B83" s="45" t="s">
        <v>762</v>
      </c>
      <c r="C83" s="87" t="s">
        <v>12</v>
      </c>
      <c r="D83" s="5" t="s">
        <v>13</v>
      </c>
      <c r="E83" s="5" t="s">
        <v>14</v>
      </c>
      <c r="F83" s="43" t="s">
        <v>734</v>
      </c>
      <c r="G83" s="41" t="s">
        <v>15</v>
      </c>
      <c r="H83" s="46" t="s">
        <v>30</v>
      </c>
      <c r="I83" s="87" t="s">
        <v>22</v>
      </c>
      <c r="J83" s="5" t="s">
        <v>17</v>
      </c>
      <c r="K83" s="44" t="s">
        <v>796</v>
      </c>
      <c r="L83" s="5" t="s">
        <v>80</v>
      </c>
      <c r="M83" s="172" t="s">
        <v>48</v>
      </c>
    </row>
    <row r="84" spans="1:13" s="5" customFormat="1" x14ac:dyDescent="0.25">
      <c r="A84" s="39">
        <f t="shared" si="1"/>
        <v>83</v>
      </c>
      <c r="B84" s="45" t="s">
        <v>762</v>
      </c>
      <c r="C84" s="87" t="s">
        <v>12</v>
      </c>
      <c r="D84" s="5" t="s">
        <v>13</v>
      </c>
      <c r="E84" s="5" t="s">
        <v>14</v>
      </c>
      <c r="F84" s="43" t="s">
        <v>734</v>
      </c>
      <c r="G84" s="41" t="s">
        <v>15</v>
      </c>
      <c r="H84" s="41" t="s">
        <v>16</v>
      </c>
      <c r="I84" s="87"/>
      <c r="J84" s="5" t="s">
        <v>17</v>
      </c>
      <c r="K84" s="172" t="s">
        <v>152</v>
      </c>
      <c r="M84" s="44" t="s">
        <v>78</v>
      </c>
    </row>
    <row r="85" spans="1:13" s="5" customFormat="1" x14ac:dyDescent="0.25">
      <c r="A85" s="39">
        <f t="shared" si="1"/>
        <v>84</v>
      </c>
      <c r="B85" s="45" t="s">
        <v>762</v>
      </c>
      <c r="C85" s="87" t="s">
        <v>12</v>
      </c>
      <c r="D85" s="5" t="s">
        <v>13</v>
      </c>
      <c r="E85" s="5" t="s">
        <v>14</v>
      </c>
      <c r="F85" s="43" t="s">
        <v>734</v>
      </c>
      <c r="G85" s="41" t="s">
        <v>15</v>
      </c>
      <c r="H85" s="41" t="s">
        <v>30</v>
      </c>
      <c r="I85" s="87" t="s">
        <v>56</v>
      </c>
      <c r="J85" s="5" t="s">
        <v>17</v>
      </c>
      <c r="K85" s="44" t="s">
        <v>105</v>
      </c>
      <c r="L85" s="42" t="s">
        <v>114</v>
      </c>
      <c r="M85" s="44" t="s">
        <v>44</v>
      </c>
    </row>
    <row r="86" spans="1:13" s="5" customFormat="1" x14ac:dyDescent="0.25">
      <c r="A86" s="39">
        <f t="shared" si="1"/>
        <v>85</v>
      </c>
      <c r="B86" s="45" t="s">
        <v>762</v>
      </c>
      <c r="C86" s="87" t="s">
        <v>12</v>
      </c>
      <c r="D86" s="5" t="s">
        <v>13</v>
      </c>
      <c r="E86" s="5" t="s">
        <v>14</v>
      </c>
      <c r="F86" s="43" t="s">
        <v>735</v>
      </c>
      <c r="G86" s="41" t="s">
        <v>15</v>
      </c>
      <c r="H86" s="46" t="s">
        <v>26</v>
      </c>
      <c r="I86" s="87" t="s">
        <v>56</v>
      </c>
      <c r="K86" s="44"/>
      <c r="M86" s="44"/>
    </row>
    <row r="87" spans="1:13" s="5" customFormat="1" x14ac:dyDescent="0.25">
      <c r="A87" s="39">
        <f t="shared" si="1"/>
        <v>86</v>
      </c>
      <c r="B87" s="45" t="s">
        <v>762</v>
      </c>
      <c r="C87" s="87" t="s">
        <v>12</v>
      </c>
      <c r="D87" s="5" t="s">
        <v>13</v>
      </c>
      <c r="E87" s="5" t="s">
        <v>14</v>
      </c>
      <c r="F87" s="43" t="s">
        <v>735</v>
      </c>
      <c r="G87" s="41" t="s">
        <v>15</v>
      </c>
      <c r="H87" s="46" t="s">
        <v>26</v>
      </c>
      <c r="I87" s="87" t="s">
        <v>56</v>
      </c>
      <c r="K87" s="44"/>
      <c r="M87" s="44"/>
    </row>
    <row r="88" spans="1:13" s="5" customFormat="1" x14ac:dyDescent="0.25">
      <c r="A88" s="39">
        <f t="shared" si="1"/>
        <v>87</v>
      </c>
      <c r="B88" s="45" t="s">
        <v>762</v>
      </c>
      <c r="C88" s="87" t="s">
        <v>12</v>
      </c>
      <c r="D88" s="5" t="s">
        <v>13</v>
      </c>
      <c r="E88" s="5" t="s">
        <v>14</v>
      </c>
      <c r="F88" s="43" t="s">
        <v>735</v>
      </c>
      <c r="G88" s="41" t="s">
        <v>15</v>
      </c>
      <c r="H88" s="41" t="s">
        <v>16</v>
      </c>
      <c r="I88" s="87"/>
      <c r="J88" s="5" t="s">
        <v>702</v>
      </c>
      <c r="K88" s="44" t="s">
        <v>703</v>
      </c>
      <c r="M88" s="44"/>
    </row>
    <row r="89" spans="1:13" s="5" customFormat="1" x14ac:dyDescent="0.25">
      <c r="A89" s="39">
        <f t="shared" si="1"/>
        <v>88</v>
      </c>
      <c r="B89" s="45" t="s">
        <v>762</v>
      </c>
      <c r="C89" s="87" t="s">
        <v>12</v>
      </c>
      <c r="D89" s="5" t="s">
        <v>13</v>
      </c>
      <c r="E89" s="5" t="s">
        <v>14</v>
      </c>
      <c r="F89" s="43" t="s">
        <v>735</v>
      </c>
      <c r="G89" s="41" t="s">
        <v>15</v>
      </c>
      <c r="H89" s="46" t="s">
        <v>26</v>
      </c>
      <c r="I89" s="87" t="s">
        <v>85</v>
      </c>
      <c r="K89" s="44"/>
      <c r="M89" s="44"/>
    </row>
    <row r="90" spans="1:13" s="5" customFormat="1" x14ac:dyDescent="0.25">
      <c r="A90" s="8">
        <f t="shared" si="1"/>
        <v>89</v>
      </c>
      <c r="B90" s="34" t="s">
        <v>763</v>
      </c>
      <c r="C90" s="204" t="s">
        <v>12</v>
      </c>
      <c r="D90" s="203" t="s">
        <v>13</v>
      </c>
      <c r="E90" s="203" t="s">
        <v>14</v>
      </c>
      <c r="F90" s="205" t="s">
        <v>413</v>
      </c>
      <c r="G90" s="206" t="s">
        <v>15</v>
      </c>
      <c r="H90" s="9" t="s">
        <v>63</v>
      </c>
      <c r="I90" s="89"/>
      <c r="J90" s="42"/>
      <c r="K90" s="44"/>
      <c r="M90" s="44"/>
    </row>
    <row r="91" spans="1:13" s="5" customFormat="1" x14ac:dyDescent="0.25">
      <c r="A91" s="39">
        <f t="shared" si="1"/>
        <v>90</v>
      </c>
      <c r="B91" s="45" t="s">
        <v>762</v>
      </c>
      <c r="C91" s="87" t="s">
        <v>12</v>
      </c>
      <c r="D91" s="5" t="s">
        <v>13</v>
      </c>
      <c r="E91" s="5" t="s">
        <v>14</v>
      </c>
      <c r="F91" s="43" t="s">
        <v>735</v>
      </c>
      <c r="G91" s="41" t="s">
        <v>15</v>
      </c>
      <c r="H91" s="41" t="s">
        <v>30</v>
      </c>
      <c r="I91" s="87" t="s">
        <v>22</v>
      </c>
      <c r="J91" s="44" t="s">
        <v>17</v>
      </c>
      <c r="K91" s="172" t="s">
        <v>18</v>
      </c>
      <c r="L91" s="42" t="s">
        <v>125</v>
      </c>
      <c r="M91" s="44" t="s">
        <v>48</v>
      </c>
    </row>
    <row r="92" spans="1:13" s="5" customFormat="1" ht="30" x14ac:dyDescent="0.25">
      <c r="A92" s="39">
        <f t="shared" si="1"/>
        <v>91</v>
      </c>
      <c r="B92" s="45" t="s">
        <v>762</v>
      </c>
      <c r="C92" s="87" t="s">
        <v>12</v>
      </c>
      <c r="D92" s="5" t="s">
        <v>13</v>
      </c>
      <c r="E92" s="5" t="s">
        <v>14</v>
      </c>
      <c r="F92" s="43" t="s">
        <v>735</v>
      </c>
      <c r="G92" s="41" t="s">
        <v>15</v>
      </c>
      <c r="H92" s="41" t="s">
        <v>30</v>
      </c>
      <c r="I92" s="42" t="s">
        <v>704</v>
      </c>
      <c r="J92" s="5" t="s">
        <v>705</v>
      </c>
      <c r="K92" s="44" t="s">
        <v>706</v>
      </c>
      <c r="M92" s="172" t="s">
        <v>707</v>
      </c>
    </row>
    <row r="93" spans="1:13" s="5" customFormat="1" x14ac:dyDescent="0.25">
      <c r="A93" s="39">
        <f t="shared" si="1"/>
        <v>92</v>
      </c>
      <c r="B93" s="45" t="s">
        <v>762</v>
      </c>
      <c r="C93" s="87" t="s">
        <v>12</v>
      </c>
      <c r="D93" s="5" t="s">
        <v>13</v>
      </c>
      <c r="E93" s="5" t="s">
        <v>14</v>
      </c>
      <c r="F93" s="43" t="s">
        <v>735</v>
      </c>
      <c r="G93" s="41" t="s">
        <v>15</v>
      </c>
      <c r="H93" s="41" t="s">
        <v>16</v>
      </c>
      <c r="I93" s="87"/>
      <c r="J93" s="42" t="s">
        <v>107</v>
      </c>
      <c r="K93" s="172" t="s">
        <v>108</v>
      </c>
      <c r="M93" s="44" t="s">
        <v>78</v>
      </c>
    </row>
    <row r="94" spans="1:13" s="5" customFormat="1" x14ac:dyDescent="0.25">
      <c r="A94" s="39">
        <f t="shared" si="1"/>
        <v>93</v>
      </c>
      <c r="B94" s="45" t="s">
        <v>762</v>
      </c>
      <c r="C94" s="87" t="s">
        <v>12</v>
      </c>
      <c r="D94" s="5" t="s">
        <v>13</v>
      </c>
      <c r="E94" s="5" t="s">
        <v>14</v>
      </c>
      <c r="F94" s="43" t="s">
        <v>735</v>
      </c>
      <c r="G94" s="41" t="s">
        <v>15</v>
      </c>
      <c r="H94" s="41" t="s">
        <v>16</v>
      </c>
      <c r="I94" s="87"/>
      <c r="J94" s="5" t="s">
        <v>17</v>
      </c>
      <c r="K94" s="44" t="s">
        <v>109</v>
      </c>
      <c r="L94" s="42"/>
      <c r="M94" s="172" t="s">
        <v>100</v>
      </c>
    </row>
    <row r="95" spans="1:13" s="5" customFormat="1" x14ac:dyDescent="0.25">
      <c r="A95" s="192">
        <f t="shared" si="1"/>
        <v>94</v>
      </c>
      <c r="B95" s="195" t="s">
        <v>762</v>
      </c>
      <c r="C95" s="194" t="s">
        <v>12</v>
      </c>
      <c r="D95" s="193" t="s">
        <v>13</v>
      </c>
      <c r="E95" s="193" t="s">
        <v>14</v>
      </c>
      <c r="F95" s="196" t="s">
        <v>735</v>
      </c>
      <c r="G95" s="197" t="s">
        <v>15</v>
      </c>
      <c r="H95" s="197" t="s">
        <v>67</v>
      </c>
      <c r="I95" s="87"/>
      <c r="K95" s="44"/>
      <c r="M95" s="44"/>
    </row>
    <row r="96" spans="1:13" s="5" customFormat="1" x14ac:dyDescent="0.25">
      <c r="A96" s="39">
        <f t="shared" si="1"/>
        <v>95</v>
      </c>
      <c r="B96" s="45" t="s">
        <v>762</v>
      </c>
      <c r="C96" s="87" t="s">
        <v>12</v>
      </c>
      <c r="D96" s="5" t="s">
        <v>13</v>
      </c>
      <c r="E96" s="5" t="s">
        <v>14</v>
      </c>
      <c r="F96" s="43" t="s">
        <v>735</v>
      </c>
      <c r="G96" s="41" t="s">
        <v>15</v>
      </c>
      <c r="H96" s="41" t="s">
        <v>30</v>
      </c>
      <c r="I96" s="87" t="s">
        <v>110</v>
      </c>
      <c r="J96" s="5" t="s">
        <v>31</v>
      </c>
      <c r="K96" s="44" t="s">
        <v>111</v>
      </c>
      <c r="L96" s="42"/>
      <c r="M96" s="172" t="s">
        <v>112</v>
      </c>
    </row>
    <row r="97" spans="1:13" s="5" customFormat="1" x14ac:dyDescent="0.25">
      <c r="A97" s="39">
        <f t="shared" ref="A97:A160" si="2">A96+1</f>
        <v>96</v>
      </c>
      <c r="B97" s="45" t="s">
        <v>762</v>
      </c>
      <c r="C97" s="87" t="s">
        <v>12</v>
      </c>
      <c r="D97" s="5" t="s">
        <v>13</v>
      </c>
      <c r="E97" s="5" t="s">
        <v>14</v>
      </c>
      <c r="F97" s="43" t="s">
        <v>735</v>
      </c>
      <c r="G97" s="41" t="s">
        <v>15</v>
      </c>
      <c r="H97" s="46" t="s">
        <v>26</v>
      </c>
      <c r="I97" s="87" t="s">
        <v>113</v>
      </c>
      <c r="J97" s="5" t="s">
        <v>37</v>
      </c>
      <c r="K97" s="44"/>
      <c r="M97" s="44"/>
    </row>
    <row r="98" spans="1:13" s="5" customFormat="1" x14ac:dyDescent="0.25">
      <c r="A98" s="39">
        <f t="shared" si="2"/>
        <v>97</v>
      </c>
      <c r="B98" s="45" t="s">
        <v>762</v>
      </c>
      <c r="C98" s="87" t="s">
        <v>12</v>
      </c>
      <c r="D98" s="5" t="s">
        <v>13</v>
      </c>
      <c r="E98" s="5" t="s">
        <v>14</v>
      </c>
      <c r="F98" s="43" t="s">
        <v>735</v>
      </c>
      <c r="G98" s="41" t="s">
        <v>15</v>
      </c>
      <c r="H98" s="41" t="s">
        <v>16</v>
      </c>
      <c r="I98" s="87"/>
      <c r="J98" s="5" t="s">
        <v>709</v>
      </c>
      <c r="K98" s="44" t="s">
        <v>710</v>
      </c>
      <c r="M98" s="44" t="s">
        <v>711</v>
      </c>
    </row>
    <row r="99" spans="1:13" s="5" customFormat="1" x14ac:dyDescent="0.25">
      <c r="A99" s="39">
        <f t="shared" si="2"/>
        <v>98</v>
      </c>
      <c r="B99" s="45" t="s">
        <v>762</v>
      </c>
      <c r="C99" s="87" t="s">
        <v>12</v>
      </c>
      <c r="D99" s="5" t="s">
        <v>13</v>
      </c>
      <c r="E99" s="5" t="s">
        <v>14</v>
      </c>
      <c r="F99" s="43" t="s">
        <v>735</v>
      </c>
      <c r="G99" s="41" t="s">
        <v>15</v>
      </c>
      <c r="H99" s="46" t="s">
        <v>26</v>
      </c>
      <c r="I99" s="87" t="s">
        <v>110</v>
      </c>
      <c r="K99" s="44"/>
      <c r="M99" s="44"/>
    </row>
    <row r="100" spans="1:13" s="5" customFormat="1" x14ac:dyDescent="0.25">
      <c r="A100" s="39">
        <f t="shared" si="2"/>
        <v>99</v>
      </c>
      <c r="B100" s="45" t="s">
        <v>762</v>
      </c>
      <c r="C100" s="87" t="s">
        <v>12</v>
      </c>
      <c r="D100" s="5" t="s">
        <v>13</v>
      </c>
      <c r="E100" s="5" t="s">
        <v>14</v>
      </c>
      <c r="F100" s="43" t="s">
        <v>735</v>
      </c>
      <c r="G100" s="41" t="s">
        <v>15</v>
      </c>
      <c r="H100" s="41" t="s">
        <v>16</v>
      </c>
      <c r="I100" s="87"/>
      <c r="J100" s="5" t="s">
        <v>17</v>
      </c>
      <c r="K100" s="44" t="s">
        <v>114</v>
      </c>
      <c r="L100" s="5" t="s">
        <v>114</v>
      </c>
      <c r="M100" s="44" t="s">
        <v>712</v>
      </c>
    </row>
    <row r="101" spans="1:13" s="5" customFormat="1" x14ac:dyDescent="0.25">
      <c r="A101" s="192">
        <f t="shared" si="2"/>
        <v>100</v>
      </c>
      <c r="B101" s="195" t="s">
        <v>762</v>
      </c>
      <c r="C101" s="194" t="s">
        <v>12</v>
      </c>
      <c r="D101" s="193" t="s">
        <v>13</v>
      </c>
      <c r="E101" s="193" t="s">
        <v>14</v>
      </c>
      <c r="F101" s="196" t="s">
        <v>736</v>
      </c>
      <c r="G101" s="197" t="s">
        <v>15</v>
      </c>
      <c r="H101" s="197" t="s">
        <v>67</v>
      </c>
      <c r="I101" s="87"/>
      <c r="K101" s="44"/>
      <c r="M101" s="44"/>
    </row>
    <row r="102" spans="1:13" s="5" customFormat="1" x14ac:dyDescent="0.25">
      <c r="A102" s="39">
        <f t="shared" si="2"/>
        <v>101</v>
      </c>
      <c r="B102" s="45" t="s">
        <v>762</v>
      </c>
      <c r="C102" s="87" t="s">
        <v>12</v>
      </c>
      <c r="D102" s="5" t="s">
        <v>13</v>
      </c>
      <c r="E102" s="5" t="s">
        <v>14</v>
      </c>
      <c r="F102" s="43" t="s">
        <v>736</v>
      </c>
      <c r="G102" s="41" t="s">
        <v>15</v>
      </c>
      <c r="H102" s="46" t="s">
        <v>26</v>
      </c>
      <c r="I102" s="42" t="s">
        <v>22</v>
      </c>
      <c r="K102" s="44"/>
      <c r="M102" s="44"/>
    </row>
    <row r="103" spans="1:13" s="5" customFormat="1" x14ac:dyDescent="0.25">
      <c r="A103" s="39">
        <f t="shared" si="2"/>
        <v>102</v>
      </c>
      <c r="B103" s="45" t="s">
        <v>762</v>
      </c>
      <c r="C103" s="87" t="s">
        <v>12</v>
      </c>
      <c r="D103" s="5" t="s">
        <v>13</v>
      </c>
      <c r="E103" s="5" t="s">
        <v>14</v>
      </c>
      <c r="F103" s="43" t="s">
        <v>736</v>
      </c>
      <c r="G103" s="41" t="s">
        <v>15</v>
      </c>
      <c r="H103" s="41" t="s">
        <v>16</v>
      </c>
      <c r="I103" s="87"/>
      <c r="J103" s="5" t="s">
        <v>115</v>
      </c>
      <c r="K103" s="44" t="s">
        <v>116</v>
      </c>
      <c r="M103" s="172" t="s">
        <v>118</v>
      </c>
    </row>
    <row r="104" spans="1:13" s="5" customFormat="1" x14ac:dyDescent="0.25">
      <c r="A104" s="39">
        <f t="shared" si="2"/>
        <v>103</v>
      </c>
      <c r="B104" s="45" t="s">
        <v>762</v>
      </c>
      <c r="C104" s="87" t="s">
        <v>12</v>
      </c>
      <c r="D104" s="5" t="s">
        <v>13</v>
      </c>
      <c r="E104" s="5" t="s">
        <v>14</v>
      </c>
      <c r="F104" s="43" t="s">
        <v>736</v>
      </c>
      <c r="G104" s="41" t="s">
        <v>15</v>
      </c>
      <c r="H104" s="46" t="s">
        <v>30</v>
      </c>
      <c r="I104" s="42" t="s">
        <v>22</v>
      </c>
      <c r="J104" s="5" t="s">
        <v>17</v>
      </c>
      <c r="K104" s="172" t="s">
        <v>119</v>
      </c>
      <c r="M104" s="172" t="s">
        <v>100</v>
      </c>
    </row>
    <row r="105" spans="1:13" s="5" customFormat="1" x14ac:dyDescent="0.25">
      <c r="A105" s="39">
        <f t="shared" si="2"/>
        <v>104</v>
      </c>
      <c r="B105" s="45" t="s">
        <v>762</v>
      </c>
      <c r="C105" s="87" t="s">
        <v>12</v>
      </c>
      <c r="D105" s="5" t="s">
        <v>13</v>
      </c>
      <c r="E105" s="5" t="s">
        <v>14</v>
      </c>
      <c r="F105" s="43" t="s">
        <v>736</v>
      </c>
      <c r="G105" s="41" t="s">
        <v>15</v>
      </c>
      <c r="H105" s="41" t="s">
        <v>16</v>
      </c>
      <c r="I105" s="87"/>
      <c r="J105" s="5" t="s">
        <v>17</v>
      </c>
      <c r="K105" s="44" t="s">
        <v>120</v>
      </c>
      <c r="L105" s="40" t="s">
        <v>114</v>
      </c>
      <c r="M105" s="172" t="s">
        <v>121</v>
      </c>
    </row>
    <row r="106" spans="1:13" s="5" customFormat="1" x14ac:dyDescent="0.25">
      <c r="A106" s="14">
        <f t="shared" si="2"/>
        <v>105</v>
      </c>
      <c r="B106" s="33" t="s">
        <v>762</v>
      </c>
      <c r="C106" s="86" t="s">
        <v>12</v>
      </c>
      <c r="D106" s="15" t="s">
        <v>13</v>
      </c>
      <c r="E106" s="15" t="s">
        <v>14</v>
      </c>
      <c r="F106" s="17" t="s">
        <v>736</v>
      </c>
      <c r="G106" s="18" t="s">
        <v>15</v>
      </c>
      <c r="H106" s="19" t="s">
        <v>122</v>
      </c>
      <c r="I106" s="86"/>
      <c r="J106" s="15"/>
      <c r="K106" s="16"/>
      <c r="L106" s="15"/>
      <c r="M106" s="16"/>
    </row>
    <row r="107" spans="1:13" s="5" customFormat="1" x14ac:dyDescent="0.25">
      <c r="A107" s="39">
        <f t="shared" si="2"/>
        <v>106</v>
      </c>
      <c r="B107" s="45" t="s">
        <v>762</v>
      </c>
      <c r="C107" s="87" t="s">
        <v>12</v>
      </c>
      <c r="D107" s="5" t="s">
        <v>13</v>
      </c>
      <c r="E107" s="5" t="s">
        <v>14</v>
      </c>
      <c r="F107" s="43" t="s">
        <v>736</v>
      </c>
      <c r="G107" s="41" t="s">
        <v>15</v>
      </c>
      <c r="H107" s="41" t="s">
        <v>26</v>
      </c>
      <c r="I107" s="87" t="s">
        <v>713</v>
      </c>
      <c r="K107" s="44"/>
      <c r="M107" s="44"/>
    </row>
    <row r="108" spans="1:13" s="5" customFormat="1" x14ac:dyDescent="0.25">
      <c r="A108" s="39">
        <f t="shared" si="2"/>
        <v>107</v>
      </c>
      <c r="B108" s="45" t="s">
        <v>762</v>
      </c>
      <c r="C108" s="87" t="s">
        <v>12</v>
      </c>
      <c r="D108" s="5" t="s">
        <v>13</v>
      </c>
      <c r="E108" s="5" t="s">
        <v>14</v>
      </c>
      <c r="F108" s="43" t="s">
        <v>736</v>
      </c>
      <c r="G108" s="41" t="s">
        <v>15</v>
      </c>
      <c r="H108" s="41" t="s">
        <v>16</v>
      </c>
      <c r="I108" s="87"/>
      <c r="J108" s="5" t="s">
        <v>714</v>
      </c>
      <c r="K108" s="44" t="s">
        <v>715</v>
      </c>
      <c r="M108" s="44" t="s">
        <v>141</v>
      </c>
    </row>
    <row r="109" spans="1:13" s="5" customFormat="1" ht="30" x14ac:dyDescent="0.25">
      <c r="A109" s="39">
        <f t="shared" si="2"/>
        <v>108</v>
      </c>
      <c r="B109" s="45" t="s">
        <v>762</v>
      </c>
      <c r="C109" s="87" t="s">
        <v>12</v>
      </c>
      <c r="D109" s="5" t="s">
        <v>13</v>
      </c>
      <c r="E109" s="5" t="s">
        <v>14</v>
      </c>
      <c r="F109" s="43" t="s">
        <v>736</v>
      </c>
      <c r="G109" s="41" t="s">
        <v>15</v>
      </c>
      <c r="H109" s="41" t="s">
        <v>30</v>
      </c>
      <c r="I109" s="42" t="s">
        <v>22</v>
      </c>
      <c r="J109" s="5" t="s">
        <v>17</v>
      </c>
      <c r="K109" s="172" t="s">
        <v>123</v>
      </c>
      <c r="L109" s="42" t="s">
        <v>114</v>
      </c>
      <c r="M109" s="172" t="s">
        <v>124</v>
      </c>
    </row>
    <row r="110" spans="1:13" s="5" customFormat="1" x14ac:dyDescent="0.25">
      <c r="A110" s="39">
        <f t="shared" si="2"/>
        <v>109</v>
      </c>
      <c r="B110" s="45" t="s">
        <v>762</v>
      </c>
      <c r="C110" s="87" t="s">
        <v>12</v>
      </c>
      <c r="D110" s="5" t="s">
        <v>13</v>
      </c>
      <c r="E110" s="5" t="s">
        <v>14</v>
      </c>
      <c r="F110" s="43" t="s">
        <v>736</v>
      </c>
      <c r="G110" s="41" t="s">
        <v>15</v>
      </c>
      <c r="H110" s="41" t="s">
        <v>30</v>
      </c>
      <c r="I110" s="42" t="s">
        <v>22</v>
      </c>
      <c r="J110" s="44" t="s">
        <v>17</v>
      </c>
      <c r="K110" s="172" t="s">
        <v>18</v>
      </c>
      <c r="L110" s="42" t="s">
        <v>125</v>
      </c>
      <c r="M110" s="44" t="s">
        <v>48</v>
      </c>
    </row>
    <row r="111" spans="1:13" s="5" customFormat="1" x14ac:dyDescent="0.25">
      <c r="A111" s="39">
        <f t="shared" si="2"/>
        <v>110</v>
      </c>
      <c r="B111" s="45" t="s">
        <v>762</v>
      </c>
      <c r="C111" s="87" t="s">
        <v>12</v>
      </c>
      <c r="D111" s="5" t="s">
        <v>13</v>
      </c>
      <c r="E111" s="5" t="s">
        <v>14</v>
      </c>
      <c r="F111" s="43" t="s">
        <v>736</v>
      </c>
      <c r="G111" s="41" t="s">
        <v>15</v>
      </c>
      <c r="H111" s="46" t="s">
        <v>30</v>
      </c>
      <c r="I111" s="87" t="s">
        <v>126</v>
      </c>
      <c r="J111" s="44"/>
      <c r="K111" s="172" t="s">
        <v>18</v>
      </c>
      <c r="L111" s="42" t="s">
        <v>125</v>
      </c>
      <c r="M111" s="44" t="s">
        <v>48</v>
      </c>
    </row>
    <row r="112" spans="1:13" s="5" customFormat="1" x14ac:dyDescent="0.25">
      <c r="A112" s="39">
        <f t="shared" si="2"/>
        <v>111</v>
      </c>
      <c r="B112" s="45" t="s">
        <v>762</v>
      </c>
      <c r="C112" s="87" t="s">
        <v>12</v>
      </c>
      <c r="D112" s="5" t="s">
        <v>13</v>
      </c>
      <c r="E112" s="5" t="s">
        <v>14</v>
      </c>
      <c r="F112" s="43" t="s">
        <v>737</v>
      </c>
      <c r="G112" s="41" t="s">
        <v>15</v>
      </c>
      <c r="H112" s="41" t="s">
        <v>16</v>
      </c>
      <c r="I112" s="87"/>
      <c r="J112" s="5" t="s">
        <v>716</v>
      </c>
      <c r="K112" s="172" t="s">
        <v>717</v>
      </c>
      <c r="M112" s="172" t="s">
        <v>718</v>
      </c>
    </row>
    <row r="113" spans="1:13" s="5" customFormat="1" x14ac:dyDescent="0.25">
      <c r="A113" s="39">
        <f t="shared" si="2"/>
        <v>112</v>
      </c>
      <c r="B113" s="45" t="s">
        <v>762</v>
      </c>
      <c r="C113" s="87" t="s">
        <v>12</v>
      </c>
      <c r="D113" s="5" t="s">
        <v>13</v>
      </c>
      <c r="E113" s="5" t="s">
        <v>14</v>
      </c>
      <c r="F113" s="43" t="s">
        <v>737</v>
      </c>
      <c r="G113" s="41" t="s">
        <v>15</v>
      </c>
      <c r="H113" s="41" t="s">
        <v>30</v>
      </c>
      <c r="I113" s="87" t="s">
        <v>22</v>
      </c>
      <c r="J113" s="5" t="s">
        <v>17</v>
      </c>
      <c r="K113" s="44" t="s">
        <v>109</v>
      </c>
      <c r="L113" s="42"/>
      <c r="M113" s="44" t="s">
        <v>128</v>
      </c>
    </row>
    <row r="114" spans="1:13" s="5" customFormat="1" x14ac:dyDescent="0.25">
      <c r="A114" s="39">
        <f t="shared" si="2"/>
        <v>113</v>
      </c>
      <c r="B114" s="45" t="s">
        <v>762</v>
      </c>
      <c r="C114" s="87" t="s">
        <v>12</v>
      </c>
      <c r="D114" s="5" t="s">
        <v>13</v>
      </c>
      <c r="E114" s="5" t="s">
        <v>14</v>
      </c>
      <c r="F114" s="43" t="s">
        <v>737</v>
      </c>
      <c r="G114" s="41" t="s">
        <v>15</v>
      </c>
      <c r="H114" s="46" t="s">
        <v>30</v>
      </c>
      <c r="I114" s="87" t="s">
        <v>130</v>
      </c>
      <c r="J114" s="5" t="s">
        <v>131</v>
      </c>
      <c r="K114" s="172" t="s">
        <v>61</v>
      </c>
      <c r="L114" s="42" t="s">
        <v>779</v>
      </c>
      <c r="M114" s="44" t="s">
        <v>48</v>
      </c>
    </row>
    <row r="115" spans="1:13" s="5" customFormat="1" x14ac:dyDescent="0.25">
      <c r="A115" s="39">
        <f t="shared" si="2"/>
        <v>114</v>
      </c>
      <c r="B115" s="45" t="s">
        <v>762</v>
      </c>
      <c r="C115" s="87" t="s">
        <v>12</v>
      </c>
      <c r="D115" s="5" t="s">
        <v>13</v>
      </c>
      <c r="E115" s="5" t="s">
        <v>14</v>
      </c>
      <c r="F115" s="43" t="s">
        <v>737</v>
      </c>
      <c r="G115" s="41" t="s">
        <v>15</v>
      </c>
      <c r="H115" s="46" t="s">
        <v>26</v>
      </c>
      <c r="I115" s="87" t="s">
        <v>22</v>
      </c>
      <c r="K115" s="44"/>
      <c r="M115" s="44"/>
    </row>
    <row r="116" spans="1:13" s="5" customFormat="1" x14ac:dyDescent="0.25">
      <c r="A116" s="39">
        <f t="shared" si="2"/>
        <v>115</v>
      </c>
      <c r="B116" s="45" t="s">
        <v>762</v>
      </c>
      <c r="C116" s="87" t="s">
        <v>12</v>
      </c>
      <c r="D116" s="5" t="s">
        <v>13</v>
      </c>
      <c r="E116" s="5" t="s">
        <v>14</v>
      </c>
      <c r="F116" s="43" t="s">
        <v>737</v>
      </c>
      <c r="G116" s="41" t="s">
        <v>15</v>
      </c>
      <c r="H116" s="46" t="s">
        <v>30</v>
      </c>
      <c r="I116" s="87" t="s">
        <v>104</v>
      </c>
      <c r="J116" s="5" t="s">
        <v>131</v>
      </c>
      <c r="K116" s="44" t="s">
        <v>109</v>
      </c>
      <c r="M116" s="172" t="s">
        <v>132</v>
      </c>
    </row>
    <row r="117" spans="1:13" s="5" customFormat="1" x14ac:dyDescent="0.25">
      <c r="A117" s="39">
        <f t="shared" si="2"/>
        <v>116</v>
      </c>
      <c r="B117" s="45" t="s">
        <v>762</v>
      </c>
      <c r="C117" s="87" t="s">
        <v>12</v>
      </c>
      <c r="D117" s="5" t="s">
        <v>13</v>
      </c>
      <c r="E117" s="5" t="s">
        <v>14</v>
      </c>
      <c r="F117" s="43" t="s">
        <v>737</v>
      </c>
      <c r="G117" s="41" t="s">
        <v>15</v>
      </c>
      <c r="H117" s="46" t="s">
        <v>26</v>
      </c>
      <c r="I117" s="87" t="s">
        <v>22</v>
      </c>
      <c r="K117" s="44"/>
      <c r="M117" s="44"/>
    </row>
    <row r="118" spans="1:13" s="5" customFormat="1" x14ac:dyDescent="0.25">
      <c r="A118" s="192">
        <f t="shared" si="2"/>
        <v>117</v>
      </c>
      <c r="B118" s="195" t="s">
        <v>762</v>
      </c>
      <c r="C118" s="194" t="s">
        <v>12</v>
      </c>
      <c r="D118" s="193" t="s">
        <v>13</v>
      </c>
      <c r="E118" s="193" t="s">
        <v>14</v>
      </c>
      <c r="F118" s="196" t="s">
        <v>737</v>
      </c>
      <c r="G118" s="197" t="s">
        <v>98</v>
      </c>
      <c r="H118" s="197" t="s">
        <v>67</v>
      </c>
      <c r="I118" s="87"/>
      <c r="K118" s="44"/>
      <c r="M118" s="44"/>
    </row>
    <row r="119" spans="1:13" s="5" customFormat="1" x14ac:dyDescent="0.25">
      <c r="A119" s="39">
        <f t="shared" si="2"/>
        <v>118</v>
      </c>
      <c r="B119" s="45" t="s">
        <v>762</v>
      </c>
      <c r="C119" s="87" t="s">
        <v>12</v>
      </c>
      <c r="D119" s="5" t="s">
        <v>13</v>
      </c>
      <c r="E119" s="5" t="s">
        <v>14</v>
      </c>
      <c r="F119" s="43" t="s">
        <v>738</v>
      </c>
      <c r="G119" s="41" t="s">
        <v>15</v>
      </c>
      <c r="H119" s="46" t="s">
        <v>30</v>
      </c>
      <c r="I119" s="87" t="s">
        <v>22</v>
      </c>
      <c r="J119" s="5" t="s">
        <v>131</v>
      </c>
      <c r="K119" s="44" t="s">
        <v>134</v>
      </c>
      <c r="L119" s="5" t="s">
        <v>125</v>
      </c>
      <c r="M119" s="44" t="s">
        <v>48</v>
      </c>
    </row>
    <row r="120" spans="1:13" s="5" customFormat="1" x14ac:dyDescent="0.25">
      <c r="A120" s="39">
        <f t="shared" si="2"/>
        <v>119</v>
      </c>
      <c r="B120" s="45" t="s">
        <v>762</v>
      </c>
      <c r="C120" s="87" t="s">
        <v>12</v>
      </c>
      <c r="D120" s="5" t="s">
        <v>13</v>
      </c>
      <c r="E120" s="5" t="s">
        <v>14</v>
      </c>
      <c r="F120" s="43" t="s">
        <v>738</v>
      </c>
      <c r="G120" s="41" t="s">
        <v>15</v>
      </c>
      <c r="H120" s="46" t="s">
        <v>26</v>
      </c>
      <c r="I120" s="87" t="s">
        <v>22</v>
      </c>
      <c r="K120" s="44"/>
      <c r="M120" s="44"/>
    </row>
    <row r="121" spans="1:13" s="5" customFormat="1" x14ac:dyDescent="0.25">
      <c r="A121" s="39">
        <f t="shared" si="2"/>
        <v>120</v>
      </c>
      <c r="B121" s="45" t="s">
        <v>762</v>
      </c>
      <c r="C121" s="87" t="s">
        <v>12</v>
      </c>
      <c r="D121" s="5" t="s">
        <v>13</v>
      </c>
      <c r="E121" s="5" t="s">
        <v>14</v>
      </c>
      <c r="F121" s="43" t="s">
        <v>738</v>
      </c>
      <c r="G121" s="41" t="s">
        <v>15</v>
      </c>
      <c r="H121" s="41" t="s">
        <v>16</v>
      </c>
      <c r="I121" s="87"/>
      <c r="J121" s="5" t="s">
        <v>131</v>
      </c>
      <c r="K121" s="44" t="s">
        <v>135</v>
      </c>
      <c r="L121" s="42"/>
      <c r="M121" s="44" t="s">
        <v>136</v>
      </c>
    </row>
    <row r="122" spans="1:13" s="5" customFormat="1" x14ac:dyDescent="0.25">
      <c r="A122" s="39">
        <f t="shared" si="2"/>
        <v>121</v>
      </c>
      <c r="B122" s="45" t="s">
        <v>762</v>
      </c>
      <c r="C122" s="87" t="s">
        <v>12</v>
      </c>
      <c r="D122" s="5" t="s">
        <v>13</v>
      </c>
      <c r="E122" s="5" t="s">
        <v>14</v>
      </c>
      <c r="F122" s="43" t="s">
        <v>738</v>
      </c>
      <c r="G122" s="41" t="s">
        <v>15</v>
      </c>
      <c r="H122" s="46" t="s">
        <v>30</v>
      </c>
      <c r="I122" s="87" t="s">
        <v>104</v>
      </c>
      <c r="J122" s="5" t="s">
        <v>131</v>
      </c>
      <c r="K122" s="44" t="s">
        <v>138</v>
      </c>
      <c r="L122" s="42" t="s">
        <v>114</v>
      </c>
      <c r="M122" s="44" t="s">
        <v>139</v>
      </c>
    </row>
    <row r="123" spans="1:13" s="5" customFormat="1" x14ac:dyDescent="0.25">
      <c r="A123" s="39">
        <f t="shared" si="2"/>
        <v>122</v>
      </c>
      <c r="B123" s="45" t="s">
        <v>762</v>
      </c>
      <c r="C123" s="87" t="s">
        <v>12</v>
      </c>
      <c r="D123" s="5" t="s">
        <v>13</v>
      </c>
      <c r="E123" s="5" t="s">
        <v>14</v>
      </c>
      <c r="F123" s="43" t="s">
        <v>738</v>
      </c>
      <c r="G123" s="41" t="s">
        <v>15</v>
      </c>
      <c r="H123" s="46" t="s">
        <v>26</v>
      </c>
      <c r="I123" s="87" t="s">
        <v>104</v>
      </c>
      <c r="K123" s="44"/>
      <c r="M123" s="44"/>
    </row>
    <row r="124" spans="1:13" s="5" customFormat="1" x14ac:dyDescent="0.25">
      <c r="A124" s="192">
        <f t="shared" si="2"/>
        <v>123</v>
      </c>
      <c r="B124" s="195" t="s">
        <v>762</v>
      </c>
      <c r="C124" s="194" t="s">
        <v>12</v>
      </c>
      <c r="D124" s="193" t="s">
        <v>13</v>
      </c>
      <c r="E124" s="193" t="s">
        <v>14</v>
      </c>
      <c r="F124" s="196" t="s">
        <v>738</v>
      </c>
      <c r="G124" s="197" t="s">
        <v>15</v>
      </c>
      <c r="H124" s="197" t="s">
        <v>67</v>
      </c>
      <c r="I124" s="87"/>
      <c r="K124" s="44"/>
      <c r="M124" s="44"/>
    </row>
    <row r="125" spans="1:13" s="5" customFormat="1" x14ac:dyDescent="0.25">
      <c r="A125" s="39">
        <f t="shared" si="2"/>
        <v>124</v>
      </c>
      <c r="B125" s="45" t="s">
        <v>762</v>
      </c>
      <c r="C125" s="87" t="s">
        <v>12</v>
      </c>
      <c r="D125" s="5" t="s">
        <v>13</v>
      </c>
      <c r="E125" s="5" t="s">
        <v>14</v>
      </c>
      <c r="F125" s="43" t="s">
        <v>738</v>
      </c>
      <c r="G125" s="41" t="s">
        <v>96</v>
      </c>
      <c r="H125" s="41" t="s">
        <v>16</v>
      </c>
      <c r="I125" s="87"/>
      <c r="J125" s="5" t="s">
        <v>131</v>
      </c>
      <c r="K125" s="44" t="s">
        <v>140</v>
      </c>
      <c r="L125" s="42" t="s">
        <v>774</v>
      </c>
      <c r="M125" s="44" t="s">
        <v>141</v>
      </c>
    </row>
    <row r="126" spans="1:13" s="5" customFormat="1" x14ac:dyDescent="0.25">
      <c r="A126" s="39">
        <f t="shared" si="2"/>
        <v>125</v>
      </c>
      <c r="B126" s="45" t="s">
        <v>762</v>
      </c>
      <c r="C126" s="87" t="s">
        <v>12</v>
      </c>
      <c r="D126" s="5" t="s">
        <v>13</v>
      </c>
      <c r="E126" s="5" t="s">
        <v>14</v>
      </c>
      <c r="F126" s="43" t="s">
        <v>738</v>
      </c>
      <c r="G126" s="41" t="s">
        <v>15</v>
      </c>
      <c r="H126" s="41" t="s">
        <v>16</v>
      </c>
      <c r="I126" s="87"/>
      <c r="J126" s="44" t="s">
        <v>131</v>
      </c>
      <c r="K126" s="172" t="s">
        <v>18</v>
      </c>
      <c r="L126" s="42" t="s">
        <v>125</v>
      </c>
      <c r="M126" s="44" t="s">
        <v>48</v>
      </c>
    </row>
    <row r="127" spans="1:13" s="5" customFormat="1" x14ac:dyDescent="0.25">
      <c r="A127" s="192">
        <f t="shared" si="2"/>
        <v>126</v>
      </c>
      <c r="B127" s="195" t="s">
        <v>762</v>
      </c>
      <c r="C127" s="194" t="s">
        <v>12</v>
      </c>
      <c r="D127" s="193" t="s">
        <v>13</v>
      </c>
      <c r="E127" s="193" t="s">
        <v>14</v>
      </c>
      <c r="F127" s="196" t="s">
        <v>739</v>
      </c>
      <c r="G127" s="197" t="s">
        <v>15</v>
      </c>
      <c r="H127" s="197" t="s">
        <v>67</v>
      </c>
      <c r="I127" s="87"/>
      <c r="K127" s="44"/>
      <c r="M127" s="44"/>
    </row>
    <row r="128" spans="1:13" s="5" customFormat="1" x14ac:dyDescent="0.25">
      <c r="A128" s="192">
        <f t="shared" si="2"/>
        <v>127</v>
      </c>
      <c r="B128" s="195" t="s">
        <v>762</v>
      </c>
      <c r="C128" s="194" t="s">
        <v>12</v>
      </c>
      <c r="D128" s="193" t="s">
        <v>13</v>
      </c>
      <c r="E128" s="193" t="s">
        <v>14</v>
      </c>
      <c r="F128" s="196" t="s">
        <v>739</v>
      </c>
      <c r="G128" s="197" t="s">
        <v>15</v>
      </c>
      <c r="H128" s="197" t="s">
        <v>67</v>
      </c>
      <c r="I128" s="87"/>
      <c r="K128" s="44"/>
      <c r="M128" s="44"/>
    </row>
    <row r="129" spans="1:13" s="5" customFormat="1" x14ac:dyDescent="0.25">
      <c r="A129" s="192">
        <f t="shared" si="2"/>
        <v>128</v>
      </c>
      <c r="B129" s="195" t="s">
        <v>762</v>
      </c>
      <c r="C129" s="194" t="s">
        <v>12</v>
      </c>
      <c r="D129" s="193" t="s">
        <v>13</v>
      </c>
      <c r="E129" s="193" t="s">
        <v>14</v>
      </c>
      <c r="F129" s="196" t="s">
        <v>739</v>
      </c>
      <c r="G129" s="197" t="s">
        <v>96</v>
      </c>
      <c r="H129" s="197" t="s">
        <v>67</v>
      </c>
      <c r="I129" s="87"/>
      <c r="K129" s="44"/>
      <c r="M129" s="44"/>
    </row>
    <row r="130" spans="1:13" s="5" customFormat="1" x14ac:dyDescent="0.25">
      <c r="A130" s="192">
        <f t="shared" si="2"/>
        <v>129</v>
      </c>
      <c r="B130" s="195" t="s">
        <v>762</v>
      </c>
      <c r="C130" s="194" t="s">
        <v>12</v>
      </c>
      <c r="D130" s="193" t="s">
        <v>13</v>
      </c>
      <c r="E130" s="193" t="s">
        <v>14</v>
      </c>
      <c r="F130" s="196" t="s">
        <v>739</v>
      </c>
      <c r="G130" s="197" t="s">
        <v>15</v>
      </c>
      <c r="H130" s="197" t="s">
        <v>67</v>
      </c>
      <c r="I130" s="87"/>
      <c r="K130" s="44"/>
      <c r="M130" s="44"/>
    </row>
    <row r="131" spans="1:13" s="5" customFormat="1" x14ac:dyDescent="0.25">
      <c r="A131" s="192">
        <f t="shared" si="2"/>
        <v>130</v>
      </c>
      <c r="B131" s="195" t="s">
        <v>762</v>
      </c>
      <c r="C131" s="194" t="s">
        <v>12</v>
      </c>
      <c r="D131" s="193" t="s">
        <v>13</v>
      </c>
      <c r="E131" s="193" t="s">
        <v>14</v>
      </c>
      <c r="F131" s="196" t="s">
        <v>739</v>
      </c>
      <c r="G131" s="197" t="s">
        <v>15</v>
      </c>
      <c r="H131" s="207" t="s">
        <v>848</v>
      </c>
      <c r="I131" s="87"/>
      <c r="K131" s="44"/>
      <c r="M131" s="44"/>
    </row>
    <row r="132" spans="1:13" s="5" customFormat="1" x14ac:dyDescent="0.25">
      <c r="A132" s="39">
        <f t="shared" si="2"/>
        <v>131</v>
      </c>
      <c r="B132" s="45" t="s">
        <v>762</v>
      </c>
      <c r="C132" s="87" t="s">
        <v>12</v>
      </c>
      <c r="D132" s="5" t="s">
        <v>13</v>
      </c>
      <c r="E132" s="5" t="s">
        <v>14</v>
      </c>
      <c r="F132" s="43" t="s">
        <v>739</v>
      </c>
      <c r="G132" s="41" t="s">
        <v>15</v>
      </c>
      <c r="H132" s="41" t="s">
        <v>16</v>
      </c>
      <c r="I132" s="87"/>
      <c r="J132" s="5" t="s">
        <v>142</v>
      </c>
      <c r="K132" s="44" t="s">
        <v>143</v>
      </c>
      <c r="M132" s="44" t="s">
        <v>144</v>
      </c>
    </row>
    <row r="133" spans="1:13" s="5" customFormat="1" x14ac:dyDescent="0.25">
      <c r="A133" s="39">
        <f t="shared" si="2"/>
        <v>132</v>
      </c>
      <c r="B133" s="45" t="s">
        <v>762</v>
      </c>
      <c r="C133" s="87" t="s">
        <v>12</v>
      </c>
      <c r="D133" s="5" t="s">
        <v>13</v>
      </c>
      <c r="E133" s="5" t="s">
        <v>14</v>
      </c>
      <c r="F133" s="43" t="s">
        <v>739</v>
      </c>
      <c r="G133" s="41" t="s">
        <v>15</v>
      </c>
      <c r="H133" s="46" t="s">
        <v>26</v>
      </c>
      <c r="I133" s="87" t="s">
        <v>85</v>
      </c>
      <c r="K133" s="44"/>
      <c r="M133" s="44"/>
    </row>
    <row r="134" spans="1:13" s="5" customFormat="1" x14ac:dyDescent="0.25">
      <c r="A134" s="39">
        <f t="shared" si="2"/>
        <v>133</v>
      </c>
      <c r="B134" s="45" t="s">
        <v>762</v>
      </c>
      <c r="C134" s="87" t="s">
        <v>12</v>
      </c>
      <c r="D134" s="5" t="s">
        <v>13</v>
      </c>
      <c r="E134" s="5" t="s">
        <v>14</v>
      </c>
      <c r="F134" s="43" t="s">
        <v>739</v>
      </c>
      <c r="G134" s="41" t="s">
        <v>15</v>
      </c>
      <c r="H134" s="41" t="s">
        <v>30</v>
      </c>
      <c r="I134" s="87" t="s">
        <v>85</v>
      </c>
      <c r="J134" s="5" t="s">
        <v>131</v>
      </c>
      <c r="K134" s="44" t="s">
        <v>781</v>
      </c>
      <c r="L134" s="5" t="s">
        <v>114</v>
      </c>
      <c r="M134" s="44" t="s">
        <v>145</v>
      </c>
    </row>
    <row r="135" spans="1:13" s="5" customFormat="1" x14ac:dyDescent="0.25">
      <c r="A135" s="192">
        <f t="shared" si="2"/>
        <v>134</v>
      </c>
      <c r="B135" s="195" t="s">
        <v>762</v>
      </c>
      <c r="C135" s="194" t="s">
        <v>12</v>
      </c>
      <c r="D135" s="193" t="s">
        <v>13</v>
      </c>
      <c r="E135" s="193" t="s">
        <v>14</v>
      </c>
      <c r="F135" s="196" t="s">
        <v>739</v>
      </c>
      <c r="G135" s="197" t="s">
        <v>15</v>
      </c>
      <c r="H135" s="197" t="s">
        <v>67</v>
      </c>
      <c r="I135" s="87"/>
      <c r="K135" s="44"/>
      <c r="M135" s="44"/>
    </row>
    <row r="136" spans="1:13" s="5" customFormat="1" x14ac:dyDescent="0.25">
      <c r="A136" s="39">
        <f t="shared" si="2"/>
        <v>135</v>
      </c>
      <c r="B136" s="45" t="s">
        <v>762</v>
      </c>
      <c r="C136" s="87" t="s">
        <v>12</v>
      </c>
      <c r="D136" s="5" t="s">
        <v>13</v>
      </c>
      <c r="E136" s="5" t="s">
        <v>14</v>
      </c>
      <c r="F136" s="43" t="s">
        <v>739</v>
      </c>
      <c r="G136" s="41" t="s">
        <v>15</v>
      </c>
      <c r="H136" s="46" t="s">
        <v>26</v>
      </c>
      <c r="I136" s="87" t="s">
        <v>22</v>
      </c>
      <c r="K136" s="44"/>
      <c r="M136" s="44"/>
    </row>
    <row r="137" spans="1:13" s="5" customFormat="1" x14ac:dyDescent="0.25">
      <c r="A137" s="192">
        <f t="shared" si="2"/>
        <v>136</v>
      </c>
      <c r="B137" s="195" t="s">
        <v>762</v>
      </c>
      <c r="C137" s="194" t="s">
        <v>12</v>
      </c>
      <c r="D137" s="193" t="s">
        <v>13</v>
      </c>
      <c r="E137" s="193" t="s">
        <v>14</v>
      </c>
      <c r="F137" s="196" t="s">
        <v>739</v>
      </c>
      <c r="G137" s="197" t="s">
        <v>15</v>
      </c>
      <c r="H137" s="197" t="s">
        <v>67</v>
      </c>
      <c r="I137" s="87"/>
      <c r="K137" s="44"/>
      <c r="M137" s="44"/>
    </row>
    <row r="138" spans="1:13" s="5" customFormat="1" ht="30" x14ac:dyDescent="0.25">
      <c r="A138" s="39">
        <f t="shared" si="2"/>
        <v>137</v>
      </c>
      <c r="B138" s="45" t="s">
        <v>762</v>
      </c>
      <c r="C138" s="87" t="s">
        <v>12</v>
      </c>
      <c r="D138" s="5" t="s">
        <v>13</v>
      </c>
      <c r="E138" s="5" t="s">
        <v>14</v>
      </c>
      <c r="F138" s="43" t="s">
        <v>739</v>
      </c>
      <c r="G138" s="41" t="s">
        <v>15</v>
      </c>
      <c r="H138" s="46" t="s">
        <v>30</v>
      </c>
      <c r="I138" s="87" t="s">
        <v>85</v>
      </c>
      <c r="J138" s="5" t="s">
        <v>131</v>
      </c>
      <c r="K138" s="44" t="s">
        <v>781</v>
      </c>
      <c r="L138" s="5" t="s">
        <v>114</v>
      </c>
      <c r="M138" s="172" t="s">
        <v>146</v>
      </c>
    </row>
    <row r="139" spans="1:13" s="5" customFormat="1" x14ac:dyDescent="0.25">
      <c r="A139" s="39">
        <f t="shared" si="2"/>
        <v>138</v>
      </c>
      <c r="B139" s="45" t="s">
        <v>762</v>
      </c>
      <c r="C139" s="87" t="s">
        <v>12</v>
      </c>
      <c r="D139" s="5" t="s">
        <v>13</v>
      </c>
      <c r="E139" s="5" t="s">
        <v>14</v>
      </c>
      <c r="F139" s="43" t="s">
        <v>739</v>
      </c>
      <c r="G139" s="41" t="s">
        <v>15</v>
      </c>
      <c r="H139" s="41" t="s">
        <v>16</v>
      </c>
      <c r="I139" s="87"/>
      <c r="J139" s="5" t="s">
        <v>131</v>
      </c>
      <c r="K139" s="172" t="s">
        <v>147</v>
      </c>
      <c r="L139" s="5" t="s">
        <v>779</v>
      </c>
      <c r="M139" s="44" t="s">
        <v>148</v>
      </c>
    </row>
    <row r="140" spans="1:13" s="5" customFormat="1" x14ac:dyDescent="0.25">
      <c r="A140" s="39">
        <f t="shared" si="2"/>
        <v>139</v>
      </c>
      <c r="B140" s="45" t="s">
        <v>762</v>
      </c>
      <c r="C140" s="87" t="s">
        <v>12</v>
      </c>
      <c r="D140" s="5" t="s">
        <v>13</v>
      </c>
      <c r="E140" s="5" t="s">
        <v>14</v>
      </c>
      <c r="F140" s="43" t="s">
        <v>739</v>
      </c>
      <c r="G140" s="41" t="s">
        <v>15</v>
      </c>
      <c r="H140" s="46" t="s">
        <v>26</v>
      </c>
      <c r="I140" s="87" t="s">
        <v>149</v>
      </c>
      <c r="K140" s="44"/>
      <c r="M140" s="44"/>
    </row>
    <row r="141" spans="1:13" s="5" customFormat="1" x14ac:dyDescent="0.25">
      <c r="A141" s="39">
        <f t="shared" si="2"/>
        <v>140</v>
      </c>
      <c r="B141" s="45" t="s">
        <v>762</v>
      </c>
      <c r="C141" s="87" t="s">
        <v>12</v>
      </c>
      <c r="D141" s="5" t="s">
        <v>13</v>
      </c>
      <c r="E141" s="5" t="s">
        <v>14</v>
      </c>
      <c r="F141" s="43" t="s">
        <v>739</v>
      </c>
      <c r="G141" s="41" t="s">
        <v>15</v>
      </c>
      <c r="H141" s="41" t="s">
        <v>16</v>
      </c>
      <c r="I141" s="87"/>
      <c r="J141" s="5" t="s">
        <v>131</v>
      </c>
      <c r="K141" s="44" t="s">
        <v>150</v>
      </c>
      <c r="L141" s="42"/>
      <c r="M141" s="44" t="s">
        <v>151</v>
      </c>
    </row>
    <row r="142" spans="1:13" s="5" customFormat="1" x14ac:dyDescent="0.25">
      <c r="A142" s="39">
        <f t="shared" si="2"/>
        <v>141</v>
      </c>
      <c r="B142" s="45" t="s">
        <v>762</v>
      </c>
      <c r="C142" s="87" t="s">
        <v>12</v>
      </c>
      <c r="D142" s="5" t="s">
        <v>13</v>
      </c>
      <c r="E142" s="5" t="s">
        <v>14</v>
      </c>
      <c r="F142" s="43" t="s">
        <v>739</v>
      </c>
      <c r="G142" s="41" t="s">
        <v>96</v>
      </c>
      <c r="H142" s="41" t="s">
        <v>16</v>
      </c>
      <c r="I142" s="87"/>
      <c r="J142" s="5" t="s">
        <v>17</v>
      </c>
      <c r="K142" s="44" t="s">
        <v>152</v>
      </c>
      <c r="M142" s="44" t="s">
        <v>153</v>
      </c>
    </row>
    <row r="143" spans="1:13" s="5" customFormat="1" x14ac:dyDescent="0.25">
      <c r="A143" s="39">
        <f t="shared" si="2"/>
        <v>142</v>
      </c>
      <c r="B143" s="45" t="s">
        <v>762</v>
      </c>
      <c r="C143" s="87" t="s">
        <v>12</v>
      </c>
      <c r="D143" s="5" t="s">
        <v>13</v>
      </c>
      <c r="E143" s="5" t="s">
        <v>14</v>
      </c>
      <c r="F143" s="43" t="s">
        <v>739</v>
      </c>
      <c r="G143" s="41" t="s">
        <v>15</v>
      </c>
      <c r="H143" s="41" t="s">
        <v>16</v>
      </c>
      <c r="I143" s="87"/>
      <c r="J143" s="5" t="s">
        <v>115</v>
      </c>
      <c r="K143" s="44" t="s">
        <v>154</v>
      </c>
      <c r="M143" s="44" t="s">
        <v>155</v>
      </c>
    </row>
    <row r="144" spans="1:13" s="5" customFormat="1" x14ac:dyDescent="0.25">
      <c r="A144" s="192">
        <f t="shared" si="2"/>
        <v>143</v>
      </c>
      <c r="B144" s="195" t="s">
        <v>762</v>
      </c>
      <c r="C144" s="194" t="s">
        <v>12</v>
      </c>
      <c r="D144" s="193" t="s">
        <v>13</v>
      </c>
      <c r="E144" s="193" t="s">
        <v>14</v>
      </c>
      <c r="F144" s="196" t="s">
        <v>739</v>
      </c>
      <c r="G144" s="197" t="s">
        <v>15</v>
      </c>
      <c r="H144" s="197" t="s">
        <v>67</v>
      </c>
      <c r="I144" s="87"/>
      <c r="K144" s="44"/>
      <c r="M144" s="44"/>
    </row>
    <row r="145" spans="1:13" s="5" customFormat="1" x14ac:dyDescent="0.25">
      <c r="A145" s="39">
        <f t="shared" si="2"/>
        <v>144</v>
      </c>
      <c r="B145" s="45" t="s">
        <v>762</v>
      </c>
      <c r="C145" s="87" t="s">
        <v>12</v>
      </c>
      <c r="D145" s="5" t="s">
        <v>13</v>
      </c>
      <c r="E145" s="5" t="s">
        <v>14</v>
      </c>
      <c r="F145" s="43" t="s">
        <v>739</v>
      </c>
      <c r="G145" s="41" t="s">
        <v>15</v>
      </c>
      <c r="H145" s="46" t="s">
        <v>26</v>
      </c>
      <c r="I145" s="87" t="s">
        <v>85</v>
      </c>
      <c r="K145" s="44"/>
      <c r="M145" s="44"/>
    </row>
    <row r="146" spans="1:13" s="5" customFormat="1" x14ac:dyDescent="0.25">
      <c r="A146" s="39">
        <f t="shared" si="2"/>
        <v>145</v>
      </c>
      <c r="B146" s="45" t="s">
        <v>762</v>
      </c>
      <c r="C146" s="87" t="s">
        <v>12</v>
      </c>
      <c r="D146" s="5" t="s">
        <v>13</v>
      </c>
      <c r="E146" s="5" t="s">
        <v>14</v>
      </c>
      <c r="F146" s="43" t="s">
        <v>739</v>
      </c>
      <c r="G146" s="41" t="s">
        <v>15</v>
      </c>
      <c r="H146" s="46" t="s">
        <v>30</v>
      </c>
      <c r="I146" s="87" t="s">
        <v>85</v>
      </c>
      <c r="J146" s="5" t="s">
        <v>131</v>
      </c>
      <c r="K146" s="172" t="s">
        <v>61</v>
      </c>
      <c r="L146" s="42" t="s">
        <v>779</v>
      </c>
      <c r="M146" s="44" t="s">
        <v>81</v>
      </c>
    </row>
    <row r="147" spans="1:13" s="5" customFormat="1" x14ac:dyDescent="0.25">
      <c r="A147" s="39">
        <f t="shared" si="2"/>
        <v>146</v>
      </c>
      <c r="B147" s="45" t="s">
        <v>762</v>
      </c>
      <c r="C147" s="87" t="s">
        <v>12</v>
      </c>
      <c r="D147" s="5" t="s">
        <v>13</v>
      </c>
      <c r="E147" s="5" t="s">
        <v>14</v>
      </c>
      <c r="F147" s="43" t="s">
        <v>739</v>
      </c>
      <c r="G147" s="41" t="s">
        <v>15</v>
      </c>
      <c r="H147" s="46" t="s">
        <v>30</v>
      </c>
      <c r="I147" s="87" t="s">
        <v>156</v>
      </c>
      <c r="J147" s="5" t="s">
        <v>131</v>
      </c>
      <c r="K147" s="172" t="s">
        <v>58</v>
      </c>
      <c r="L147" s="5" t="s">
        <v>47</v>
      </c>
      <c r="M147" s="172" t="s">
        <v>157</v>
      </c>
    </row>
    <row r="148" spans="1:13" s="5" customFormat="1" x14ac:dyDescent="0.25">
      <c r="A148" s="39">
        <f t="shared" si="2"/>
        <v>147</v>
      </c>
      <c r="B148" s="45" t="s">
        <v>762</v>
      </c>
      <c r="C148" s="87" t="s">
        <v>12</v>
      </c>
      <c r="D148" s="5" t="s">
        <v>13</v>
      </c>
      <c r="E148" s="5" t="s">
        <v>14</v>
      </c>
      <c r="F148" s="43" t="s">
        <v>739</v>
      </c>
      <c r="G148" s="41" t="s">
        <v>15</v>
      </c>
      <c r="H148" s="46" t="s">
        <v>30</v>
      </c>
      <c r="I148" s="87" t="s">
        <v>156</v>
      </c>
      <c r="J148" s="5" t="s">
        <v>131</v>
      </c>
      <c r="K148" s="172" t="s">
        <v>61</v>
      </c>
      <c r="L148" s="42" t="s">
        <v>779</v>
      </c>
      <c r="M148" s="44" t="s">
        <v>48</v>
      </c>
    </row>
    <row r="149" spans="1:13" s="5" customFormat="1" x14ac:dyDescent="0.25">
      <c r="A149" s="39">
        <f t="shared" si="2"/>
        <v>148</v>
      </c>
      <c r="B149" s="45" t="s">
        <v>762</v>
      </c>
      <c r="C149" s="87" t="s">
        <v>12</v>
      </c>
      <c r="D149" s="5" t="s">
        <v>13</v>
      </c>
      <c r="E149" s="5" t="s">
        <v>14</v>
      </c>
      <c r="F149" s="43" t="s">
        <v>739</v>
      </c>
      <c r="G149" s="41" t="s">
        <v>15</v>
      </c>
      <c r="H149" s="46" t="s">
        <v>26</v>
      </c>
      <c r="I149" s="87" t="s">
        <v>85</v>
      </c>
      <c r="K149" s="44"/>
      <c r="M149" s="44"/>
    </row>
    <row r="150" spans="1:13" s="5" customFormat="1" x14ac:dyDescent="0.25">
      <c r="A150" s="39">
        <f t="shared" si="2"/>
        <v>149</v>
      </c>
      <c r="B150" s="45" t="s">
        <v>762</v>
      </c>
      <c r="C150" s="87" t="s">
        <v>12</v>
      </c>
      <c r="D150" s="5" t="s">
        <v>13</v>
      </c>
      <c r="E150" s="5" t="s">
        <v>14</v>
      </c>
      <c r="F150" s="43" t="s">
        <v>739</v>
      </c>
      <c r="G150" s="41" t="s">
        <v>15</v>
      </c>
      <c r="H150" s="46" t="s">
        <v>26</v>
      </c>
      <c r="I150" s="87" t="s">
        <v>158</v>
      </c>
      <c r="J150" s="5" t="s">
        <v>31</v>
      </c>
      <c r="K150" s="44"/>
      <c r="M150" s="44"/>
    </row>
    <row r="151" spans="1:13" s="5" customFormat="1" x14ac:dyDescent="0.25">
      <c r="A151" s="192">
        <f t="shared" si="2"/>
        <v>150</v>
      </c>
      <c r="B151" s="195" t="s">
        <v>762</v>
      </c>
      <c r="C151" s="194" t="s">
        <v>12</v>
      </c>
      <c r="D151" s="193" t="s">
        <v>13</v>
      </c>
      <c r="E151" s="193" t="s">
        <v>14</v>
      </c>
      <c r="F151" s="196" t="s">
        <v>739</v>
      </c>
      <c r="G151" s="197" t="s">
        <v>15</v>
      </c>
      <c r="H151" s="197" t="s">
        <v>67</v>
      </c>
      <c r="I151" s="87"/>
      <c r="K151" s="44"/>
      <c r="M151" s="44"/>
    </row>
    <row r="152" spans="1:13" s="5" customFormat="1" x14ac:dyDescent="0.25">
      <c r="A152" s="39">
        <f t="shared" si="2"/>
        <v>151</v>
      </c>
      <c r="B152" s="45" t="s">
        <v>762</v>
      </c>
      <c r="C152" s="87" t="s">
        <v>12</v>
      </c>
      <c r="D152" s="5" t="s">
        <v>13</v>
      </c>
      <c r="E152" s="5" t="s">
        <v>14</v>
      </c>
      <c r="F152" s="43" t="s">
        <v>739</v>
      </c>
      <c r="G152" s="41" t="s">
        <v>15</v>
      </c>
      <c r="H152" s="41" t="s">
        <v>16</v>
      </c>
      <c r="I152" s="87"/>
      <c r="J152" s="5" t="s">
        <v>31</v>
      </c>
      <c r="K152" s="44" t="s">
        <v>159</v>
      </c>
      <c r="M152" s="44" t="s">
        <v>160</v>
      </c>
    </row>
    <row r="153" spans="1:13" s="5" customFormat="1" x14ac:dyDescent="0.25">
      <c r="A153" s="39">
        <f t="shared" si="2"/>
        <v>152</v>
      </c>
      <c r="B153" s="45" t="s">
        <v>762</v>
      </c>
      <c r="C153" s="87" t="s">
        <v>12</v>
      </c>
      <c r="D153" s="5" t="s">
        <v>13</v>
      </c>
      <c r="E153" s="5" t="s">
        <v>14</v>
      </c>
      <c r="F153" s="43" t="s">
        <v>739</v>
      </c>
      <c r="G153" s="41" t="s">
        <v>96</v>
      </c>
      <c r="H153" s="46" t="s">
        <v>26</v>
      </c>
      <c r="I153" s="87" t="s">
        <v>85</v>
      </c>
      <c r="K153" s="44"/>
      <c r="M153" s="44"/>
    </row>
    <row r="154" spans="1:13" s="5" customFormat="1" x14ac:dyDescent="0.25">
      <c r="A154" s="192">
        <f t="shared" si="2"/>
        <v>153</v>
      </c>
      <c r="B154" s="195" t="s">
        <v>762</v>
      </c>
      <c r="C154" s="194" t="s">
        <v>12</v>
      </c>
      <c r="D154" s="193" t="s">
        <v>13</v>
      </c>
      <c r="E154" s="193" t="s">
        <v>14</v>
      </c>
      <c r="F154" s="196" t="s">
        <v>739</v>
      </c>
      <c r="G154" s="197" t="s">
        <v>15</v>
      </c>
      <c r="H154" s="197" t="s">
        <v>67</v>
      </c>
      <c r="I154" s="87"/>
      <c r="K154" s="44"/>
      <c r="M154" s="44"/>
    </row>
    <row r="155" spans="1:13" s="5" customFormat="1" x14ac:dyDescent="0.25">
      <c r="A155" s="39">
        <f t="shared" si="2"/>
        <v>154</v>
      </c>
      <c r="B155" s="45" t="s">
        <v>762</v>
      </c>
      <c r="C155" s="87" t="s">
        <v>12</v>
      </c>
      <c r="D155" s="5" t="s">
        <v>13</v>
      </c>
      <c r="E155" s="5" t="s">
        <v>14</v>
      </c>
      <c r="F155" s="43" t="s">
        <v>739</v>
      </c>
      <c r="G155" s="41" t="s">
        <v>98</v>
      </c>
      <c r="H155" s="41" t="s">
        <v>16</v>
      </c>
      <c r="I155" s="87"/>
      <c r="J155" s="5" t="s">
        <v>161</v>
      </c>
      <c r="K155" s="44" t="s">
        <v>162</v>
      </c>
      <c r="M155" s="44" t="s">
        <v>163</v>
      </c>
    </row>
    <row r="156" spans="1:13" s="5" customFormat="1" x14ac:dyDescent="0.25">
      <c r="A156" s="39">
        <f t="shared" si="2"/>
        <v>155</v>
      </c>
      <c r="B156" s="45" t="s">
        <v>762</v>
      </c>
      <c r="C156" s="87" t="s">
        <v>12</v>
      </c>
      <c r="D156" s="5" t="s">
        <v>13</v>
      </c>
      <c r="E156" s="5" t="s">
        <v>14</v>
      </c>
      <c r="F156" s="43" t="s">
        <v>739</v>
      </c>
      <c r="G156" s="41" t="s">
        <v>15</v>
      </c>
      <c r="H156" s="41" t="s">
        <v>16</v>
      </c>
      <c r="I156" s="87"/>
      <c r="J156" s="5" t="s">
        <v>131</v>
      </c>
      <c r="K156" s="44" t="s">
        <v>164</v>
      </c>
      <c r="M156" s="44" t="s">
        <v>163</v>
      </c>
    </row>
    <row r="157" spans="1:13" s="5" customFormat="1" x14ac:dyDescent="0.25">
      <c r="A157" s="39">
        <f t="shared" si="2"/>
        <v>156</v>
      </c>
      <c r="B157" s="45" t="s">
        <v>762</v>
      </c>
      <c r="C157" s="87" t="s">
        <v>12</v>
      </c>
      <c r="D157" s="5" t="s">
        <v>13</v>
      </c>
      <c r="E157" s="5" t="s">
        <v>14</v>
      </c>
      <c r="F157" s="43" t="s">
        <v>739</v>
      </c>
      <c r="G157" s="41" t="s">
        <v>15</v>
      </c>
      <c r="H157" s="41" t="s">
        <v>26</v>
      </c>
      <c r="I157" s="87" t="s">
        <v>22</v>
      </c>
      <c r="K157" s="44"/>
      <c r="M157" s="44"/>
    </row>
    <row r="158" spans="1:13" s="5" customFormat="1" x14ac:dyDescent="0.25">
      <c r="A158" s="39">
        <f t="shared" si="2"/>
        <v>157</v>
      </c>
      <c r="B158" s="45" t="s">
        <v>762</v>
      </c>
      <c r="C158" s="87" t="s">
        <v>12</v>
      </c>
      <c r="D158" s="5" t="s">
        <v>13</v>
      </c>
      <c r="E158" s="5" t="s">
        <v>14</v>
      </c>
      <c r="F158" s="5" t="s">
        <v>165</v>
      </c>
      <c r="G158" s="41" t="s">
        <v>96</v>
      </c>
      <c r="H158" s="46" t="s">
        <v>30</v>
      </c>
      <c r="I158" s="87" t="s">
        <v>22</v>
      </c>
      <c r="J158" s="5" t="s">
        <v>17</v>
      </c>
      <c r="K158" s="172" t="s">
        <v>58</v>
      </c>
      <c r="L158" s="5" t="s">
        <v>47</v>
      </c>
      <c r="M158" s="44" t="s">
        <v>167</v>
      </c>
    </row>
    <row r="159" spans="1:13" s="5" customFormat="1" x14ac:dyDescent="0.25">
      <c r="A159" s="192">
        <f t="shared" si="2"/>
        <v>158</v>
      </c>
      <c r="B159" s="195" t="s">
        <v>762</v>
      </c>
      <c r="C159" s="194" t="s">
        <v>12</v>
      </c>
      <c r="D159" s="193" t="s">
        <v>13</v>
      </c>
      <c r="E159" s="193" t="s">
        <v>14</v>
      </c>
      <c r="F159" s="193" t="s">
        <v>165</v>
      </c>
      <c r="G159" s="197" t="s">
        <v>15</v>
      </c>
      <c r="H159" s="197" t="s">
        <v>67</v>
      </c>
      <c r="I159" s="87"/>
      <c r="K159" s="44"/>
      <c r="M159" s="44"/>
    </row>
    <row r="160" spans="1:13" s="5" customFormat="1" x14ac:dyDescent="0.25">
      <c r="A160" s="39">
        <f t="shared" si="2"/>
        <v>159</v>
      </c>
      <c r="B160" s="45" t="s">
        <v>762</v>
      </c>
      <c r="C160" s="87" t="s">
        <v>12</v>
      </c>
      <c r="D160" s="5" t="s">
        <v>13</v>
      </c>
      <c r="E160" s="5" t="s">
        <v>14</v>
      </c>
      <c r="F160" s="5" t="s">
        <v>165</v>
      </c>
      <c r="G160" s="41" t="s">
        <v>15</v>
      </c>
      <c r="H160" s="41" t="s">
        <v>26</v>
      </c>
      <c r="I160" s="87" t="s">
        <v>168</v>
      </c>
      <c r="J160" s="5" t="s">
        <v>31</v>
      </c>
      <c r="K160" s="44"/>
      <c r="M160" s="44"/>
    </row>
    <row r="161" spans="1:16" s="5" customFormat="1" x14ac:dyDescent="0.25">
      <c r="A161" s="39">
        <f t="shared" ref="A161:A224" si="3">A160+1</f>
        <v>160</v>
      </c>
      <c r="B161" s="45" t="s">
        <v>762</v>
      </c>
      <c r="C161" s="87" t="s">
        <v>12</v>
      </c>
      <c r="D161" s="5" t="s">
        <v>13</v>
      </c>
      <c r="E161" s="5" t="s">
        <v>14</v>
      </c>
      <c r="F161" s="5" t="s">
        <v>165</v>
      </c>
      <c r="G161" s="41" t="s">
        <v>15</v>
      </c>
      <c r="H161" s="46" t="s">
        <v>30</v>
      </c>
      <c r="I161" s="87" t="s">
        <v>22</v>
      </c>
      <c r="J161" s="5" t="s">
        <v>31</v>
      </c>
      <c r="K161" s="44" t="s">
        <v>169</v>
      </c>
      <c r="L161" s="93"/>
      <c r="M161" s="44" t="s">
        <v>170</v>
      </c>
    </row>
    <row r="162" spans="1:16" s="5" customFormat="1" x14ac:dyDescent="0.25">
      <c r="A162" s="39">
        <f t="shared" si="3"/>
        <v>161</v>
      </c>
      <c r="B162" s="45" t="s">
        <v>762</v>
      </c>
      <c r="C162" s="87" t="s">
        <v>12</v>
      </c>
      <c r="D162" s="5" t="s">
        <v>13</v>
      </c>
      <c r="E162" s="5" t="s">
        <v>14</v>
      </c>
      <c r="F162" s="5" t="s">
        <v>165</v>
      </c>
      <c r="G162" s="41" t="s">
        <v>96</v>
      </c>
      <c r="H162" s="46" t="s">
        <v>30</v>
      </c>
      <c r="I162" s="87" t="s">
        <v>171</v>
      </c>
      <c r="J162" s="5" t="s">
        <v>17</v>
      </c>
      <c r="K162" s="44" t="s">
        <v>172</v>
      </c>
      <c r="L162" s="42"/>
      <c r="M162" s="44" t="s">
        <v>136</v>
      </c>
    </row>
    <row r="163" spans="1:16" s="5" customFormat="1" x14ac:dyDescent="0.25">
      <c r="A163" s="39">
        <f t="shared" si="3"/>
        <v>162</v>
      </c>
      <c r="B163" s="45" t="s">
        <v>762</v>
      </c>
      <c r="C163" s="87" t="s">
        <v>12</v>
      </c>
      <c r="D163" s="5" t="s">
        <v>13</v>
      </c>
      <c r="E163" s="5" t="s">
        <v>14</v>
      </c>
      <c r="F163" s="5" t="s">
        <v>165</v>
      </c>
      <c r="G163" s="41" t="s">
        <v>15</v>
      </c>
      <c r="H163" s="41" t="s">
        <v>16</v>
      </c>
      <c r="I163" s="87"/>
      <c r="J163" s="5" t="s">
        <v>31</v>
      </c>
      <c r="K163" s="44" t="s">
        <v>173</v>
      </c>
      <c r="L163" s="42" t="s">
        <v>114</v>
      </c>
      <c r="M163" s="172" t="s">
        <v>174</v>
      </c>
    </row>
    <row r="164" spans="1:16" s="5" customFormat="1" x14ac:dyDescent="0.25">
      <c r="A164" s="192">
        <f t="shared" si="3"/>
        <v>163</v>
      </c>
      <c r="B164" s="195" t="s">
        <v>762</v>
      </c>
      <c r="C164" s="194" t="s">
        <v>12</v>
      </c>
      <c r="D164" s="193" t="s">
        <v>13</v>
      </c>
      <c r="E164" s="193" t="s">
        <v>14</v>
      </c>
      <c r="F164" s="193" t="s">
        <v>165</v>
      </c>
      <c r="G164" s="197" t="s">
        <v>15</v>
      </c>
      <c r="H164" s="197" t="s">
        <v>67</v>
      </c>
      <c r="I164" s="87"/>
      <c r="K164" s="44"/>
      <c r="M164" s="44"/>
    </row>
    <row r="165" spans="1:16" s="5" customFormat="1" x14ac:dyDescent="0.25">
      <c r="A165" s="39">
        <f t="shared" si="3"/>
        <v>164</v>
      </c>
      <c r="B165" s="45" t="s">
        <v>762</v>
      </c>
      <c r="C165" s="87" t="s">
        <v>12</v>
      </c>
      <c r="D165" s="5" t="s">
        <v>13</v>
      </c>
      <c r="E165" s="5" t="s">
        <v>14</v>
      </c>
      <c r="F165" s="5" t="s">
        <v>165</v>
      </c>
      <c r="G165" s="41" t="s">
        <v>15</v>
      </c>
      <c r="H165" s="41" t="s">
        <v>26</v>
      </c>
      <c r="I165" s="42" t="s">
        <v>175</v>
      </c>
      <c r="K165" s="44"/>
      <c r="M165" s="44"/>
    </row>
    <row r="166" spans="1:16" s="5" customFormat="1" x14ac:dyDescent="0.25">
      <c r="A166" s="39">
        <f t="shared" si="3"/>
        <v>165</v>
      </c>
      <c r="B166" s="45" t="s">
        <v>762</v>
      </c>
      <c r="C166" s="87" t="s">
        <v>12</v>
      </c>
      <c r="D166" s="5" t="s">
        <v>13</v>
      </c>
      <c r="E166" s="5" t="s">
        <v>14</v>
      </c>
      <c r="F166" s="5" t="s">
        <v>165</v>
      </c>
      <c r="G166" s="41" t="s">
        <v>15</v>
      </c>
      <c r="H166" s="41" t="s">
        <v>16</v>
      </c>
      <c r="I166" s="87"/>
      <c r="J166" s="5" t="s">
        <v>17</v>
      </c>
      <c r="K166" s="44" t="s">
        <v>83</v>
      </c>
      <c r="L166" s="42" t="s">
        <v>840</v>
      </c>
      <c r="M166" s="44" t="s">
        <v>176</v>
      </c>
    </row>
    <row r="167" spans="1:16" s="5" customFormat="1" x14ac:dyDescent="0.25">
      <c r="A167" s="39">
        <f t="shared" si="3"/>
        <v>166</v>
      </c>
      <c r="B167" s="39" t="s">
        <v>762</v>
      </c>
      <c r="C167" s="87" t="s">
        <v>12</v>
      </c>
      <c r="D167" s="5" t="s">
        <v>13</v>
      </c>
      <c r="E167" s="5" t="s">
        <v>14</v>
      </c>
      <c r="F167" s="5" t="s">
        <v>165</v>
      </c>
      <c r="G167" s="41" t="s">
        <v>15</v>
      </c>
      <c r="H167" s="46" t="s">
        <v>30</v>
      </c>
      <c r="I167" s="87" t="s">
        <v>22</v>
      </c>
      <c r="J167" s="5" t="s">
        <v>17</v>
      </c>
      <c r="K167" s="44" t="s">
        <v>169</v>
      </c>
      <c r="L167" s="42"/>
      <c r="M167" s="44" t="s">
        <v>178</v>
      </c>
    </row>
    <row r="168" spans="1:16" s="5" customFormat="1" x14ac:dyDescent="0.25">
      <c r="A168" s="8">
        <f t="shared" si="3"/>
        <v>167</v>
      </c>
      <c r="B168" s="36" t="s">
        <v>764</v>
      </c>
      <c r="C168" s="85" t="s">
        <v>12</v>
      </c>
      <c r="D168" s="9" t="s">
        <v>13</v>
      </c>
      <c r="E168" s="9" t="s">
        <v>14</v>
      </c>
      <c r="F168" s="22" t="s">
        <v>752</v>
      </c>
      <c r="G168" s="11" t="s">
        <v>15</v>
      </c>
      <c r="H168" s="9" t="s">
        <v>63</v>
      </c>
      <c r="I168" s="87"/>
      <c r="K168" s="44"/>
      <c r="L168" s="91"/>
      <c r="M168" s="44"/>
    </row>
    <row r="169" spans="1:16" s="5" customFormat="1" x14ac:dyDescent="0.25">
      <c r="A169" s="39">
        <f t="shared" si="3"/>
        <v>168</v>
      </c>
      <c r="B169" s="45" t="s">
        <v>762</v>
      </c>
      <c r="C169" s="87" t="s">
        <v>12</v>
      </c>
      <c r="D169" s="5" t="s">
        <v>13</v>
      </c>
      <c r="E169" s="5" t="s">
        <v>14</v>
      </c>
      <c r="F169" s="5" t="s">
        <v>165</v>
      </c>
      <c r="G169" s="41" t="s">
        <v>15</v>
      </c>
      <c r="H169" s="46" t="s">
        <v>30</v>
      </c>
      <c r="I169" s="87" t="s">
        <v>22</v>
      </c>
      <c r="J169" s="5" t="s">
        <v>17</v>
      </c>
      <c r="K169" s="44" t="s">
        <v>83</v>
      </c>
      <c r="L169" s="42" t="s">
        <v>840</v>
      </c>
      <c r="M169" s="44" t="s">
        <v>179</v>
      </c>
    </row>
    <row r="170" spans="1:16" s="5" customFormat="1" x14ac:dyDescent="0.25">
      <c r="A170" s="39">
        <f t="shared" si="3"/>
        <v>169</v>
      </c>
      <c r="B170" s="45" t="s">
        <v>762</v>
      </c>
      <c r="C170" s="87" t="s">
        <v>12</v>
      </c>
      <c r="D170" s="5" t="s">
        <v>13</v>
      </c>
      <c r="E170" s="5" t="s">
        <v>14</v>
      </c>
      <c r="F170" s="5" t="s">
        <v>165</v>
      </c>
      <c r="G170" s="41" t="s">
        <v>96</v>
      </c>
      <c r="H170" s="41" t="s">
        <v>26</v>
      </c>
      <c r="I170" s="87" t="s">
        <v>22</v>
      </c>
      <c r="K170" s="44"/>
      <c r="M170" s="44"/>
    </row>
    <row r="171" spans="1:16" s="5" customFormat="1" x14ac:dyDescent="0.25">
      <c r="A171" s="39">
        <f t="shared" si="3"/>
        <v>170</v>
      </c>
      <c r="B171" s="45" t="s">
        <v>762</v>
      </c>
      <c r="C171" s="87" t="s">
        <v>12</v>
      </c>
      <c r="D171" s="5" t="s">
        <v>13</v>
      </c>
      <c r="E171" s="5" t="s">
        <v>14</v>
      </c>
      <c r="F171" s="5" t="s">
        <v>165</v>
      </c>
      <c r="G171" s="41" t="s">
        <v>15</v>
      </c>
      <c r="H171" s="41" t="s">
        <v>16</v>
      </c>
      <c r="I171" s="87"/>
      <c r="J171" s="5" t="s">
        <v>17</v>
      </c>
      <c r="K171" s="172" t="s">
        <v>58</v>
      </c>
      <c r="L171" s="5" t="s">
        <v>47</v>
      </c>
      <c r="M171" s="172" t="s">
        <v>457</v>
      </c>
    </row>
    <row r="172" spans="1:16" s="5" customFormat="1" x14ac:dyDescent="0.25">
      <c r="A172" s="39">
        <f t="shared" si="3"/>
        <v>171</v>
      </c>
      <c r="B172" s="45" t="s">
        <v>762</v>
      </c>
      <c r="C172" s="87" t="s">
        <v>12</v>
      </c>
      <c r="D172" s="5" t="s">
        <v>13</v>
      </c>
      <c r="E172" s="5" t="s">
        <v>14</v>
      </c>
      <c r="F172" s="5" t="s">
        <v>165</v>
      </c>
      <c r="G172" s="41" t="s">
        <v>15</v>
      </c>
      <c r="H172" s="41" t="s">
        <v>16</v>
      </c>
      <c r="I172" s="87"/>
      <c r="J172" s="5" t="s">
        <v>31</v>
      </c>
      <c r="K172" s="44" t="s">
        <v>181</v>
      </c>
      <c r="M172" s="44" t="s">
        <v>182</v>
      </c>
    </row>
    <row r="173" spans="1:16" s="5" customFormat="1" x14ac:dyDescent="0.25">
      <c r="A173" s="39">
        <f t="shared" si="3"/>
        <v>172</v>
      </c>
      <c r="B173" s="45" t="s">
        <v>762</v>
      </c>
      <c r="C173" s="87" t="s">
        <v>12</v>
      </c>
      <c r="D173" s="5" t="s">
        <v>13</v>
      </c>
      <c r="E173" s="5" t="s">
        <v>14</v>
      </c>
      <c r="F173" s="5" t="s">
        <v>165</v>
      </c>
      <c r="G173" s="41" t="s">
        <v>15</v>
      </c>
      <c r="H173" s="41" t="s">
        <v>26</v>
      </c>
      <c r="I173" s="87" t="s">
        <v>22</v>
      </c>
      <c r="K173" s="44"/>
      <c r="M173" s="44"/>
    </row>
    <row r="174" spans="1:16" s="5" customFormat="1" x14ac:dyDescent="0.25">
      <c r="A174" s="39">
        <f t="shared" si="3"/>
        <v>173</v>
      </c>
      <c r="B174" s="45" t="s">
        <v>762</v>
      </c>
      <c r="C174" s="87" t="s">
        <v>12</v>
      </c>
      <c r="D174" s="5" t="s">
        <v>13</v>
      </c>
      <c r="E174" s="5" t="s">
        <v>14</v>
      </c>
      <c r="F174" s="5" t="s">
        <v>165</v>
      </c>
      <c r="G174" s="41" t="s">
        <v>15</v>
      </c>
      <c r="H174" s="46" t="s">
        <v>30</v>
      </c>
      <c r="I174" s="87" t="s">
        <v>171</v>
      </c>
      <c r="J174" s="5" t="s">
        <v>183</v>
      </c>
      <c r="K174" s="172" t="s">
        <v>184</v>
      </c>
      <c r="M174" s="44" t="s">
        <v>185</v>
      </c>
    </row>
    <row r="175" spans="1:16" s="5" customFormat="1" x14ac:dyDescent="0.25">
      <c r="A175" s="39">
        <f t="shared" si="3"/>
        <v>174</v>
      </c>
      <c r="B175" s="45" t="s">
        <v>762</v>
      </c>
      <c r="C175" s="87" t="s">
        <v>12</v>
      </c>
      <c r="D175" s="5" t="s">
        <v>13</v>
      </c>
      <c r="E175" s="5" t="s">
        <v>14</v>
      </c>
      <c r="F175" s="5" t="s">
        <v>165</v>
      </c>
      <c r="G175" s="41" t="s">
        <v>15</v>
      </c>
      <c r="H175" s="41" t="s">
        <v>16</v>
      </c>
      <c r="I175" s="87"/>
      <c r="J175" s="5" t="s">
        <v>17</v>
      </c>
      <c r="K175" s="44" t="s">
        <v>186</v>
      </c>
      <c r="L175" s="42" t="s">
        <v>114</v>
      </c>
      <c r="M175" s="172" t="s">
        <v>187</v>
      </c>
      <c r="P175" s="42"/>
    </row>
    <row r="176" spans="1:16" s="5" customFormat="1" x14ac:dyDescent="0.25">
      <c r="A176" s="39">
        <f t="shared" si="3"/>
        <v>175</v>
      </c>
      <c r="B176" s="45" t="s">
        <v>762</v>
      </c>
      <c r="C176" s="87" t="s">
        <v>12</v>
      </c>
      <c r="D176" s="5" t="s">
        <v>13</v>
      </c>
      <c r="E176" s="5" t="s">
        <v>14</v>
      </c>
      <c r="F176" s="5" t="s">
        <v>165</v>
      </c>
      <c r="G176" s="41" t="s">
        <v>15</v>
      </c>
      <c r="H176" s="46" t="s">
        <v>30</v>
      </c>
      <c r="I176" s="87" t="s">
        <v>22</v>
      </c>
      <c r="J176" s="5" t="s">
        <v>17</v>
      </c>
      <c r="K176" s="44"/>
      <c r="M176" s="44" t="s">
        <v>188</v>
      </c>
    </row>
    <row r="177" spans="1:13" s="5" customFormat="1" x14ac:dyDescent="0.25">
      <c r="A177" s="14">
        <f t="shared" si="3"/>
        <v>176</v>
      </c>
      <c r="B177" s="33" t="s">
        <v>762</v>
      </c>
      <c r="C177" s="86" t="s">
        <v>12</v>
      </c>
      <c r="D177" s="15" t="s">
        <v>13</v>
      </c>
      <c r="E177" s="15" t="s">
        <v>14</v>
      </c>
      <c r="F177" s="15" t="s">
        <v>165</v>
      </c>
      <c r="G177" s="18" t="s">
        <v>15</v>
      </c>
      <c r="H177" s="19" t="s">
        <v>122</v>
      </c>
      <c r="I177" s="86"/>
      <c r="J177" s="15"/>
      <c r="K177" s="16"/>
      <c r="L177" s="15"/>
      <c r="M177" s="16"/>
    </row>
    <row r="178" spans="1:13" s="5" customFormat="1" x14ac:dyDescent="0.25">
      <c r="A178" s="192">
        <f t="shared" si="3"/>
        <v>177</v>
      </c>
      <c r="B178" s="195" t="s">
        <v>762</v>
      </c>
      <c r="C178" s="194" t="s">
        <v>12</v>
      </c>
      <c r="D178" s="193" t="s">
        <v>13</v>
      </c>
      <c r="E178" s="193" t="s">
        <v>14</v>
      </c>
      <c r="F178" s="193" t="s">
        <v>165</v>
      </c>
      <c r="G178" s="197" t="s">
        <v>15</v>
      </c>
      <c r="H178" s="197" t="s">
        <v>67</v>
      </c>
      <c r="I178" s="87"/>
      <c r="K178" s="44"/>
      <c r="M178" s="44"/>
    </row>
    <row r="179" spans="1:13" s="5" customFormat="1" x14ac:dyDescent="0.25">
      <c r="A179" s="39">
        <f t="shared" si="3"/>
        <v>178</v>
      </c>
      <c r="B179" s="45" t="s">
        <v>762</v>
      </c>
      <c r="C179" s="87" t="s">
        <v>12</v>
      </c>
      <c r="D179" s="5" t="s">
        <v>13</v>
      </c>
      <c r="E179" s="5" t="s">
        <v>14</v>
      </c>
      <c r="F179" s="5" t="s">
        <v>165</v>
      </c>
      <c r="G179" s="41" t="s">
        <v>15</v>
      </c>
      <c r="H179" s="41" t="s">
        <v>26</v>
      </c>
      <c r="I179" s="87" t="s">
        <v>189</v>
      </c>
      <c r="K179" s="44"/>
      <c r="M179" s="44"/>
    </row>
    <row r="180" spans="1:13" s="5" customFormat="1" x14ac:dyDescent="0.25">
      <c r="A180" s="192">
        <f t="shared" si="3"/>
        <v>179</v>
      </c>
      <c r="B180" s="195" t="s">
        <v>762</v>
      </c>
      <c r="C180" s="194" t="s">
        <v>12</v>
      </c>
      <c r="D180" s="193" t="s">
        <v>13</v>
      </c>
      <c r="E180" s="193" t="s">
        <v>14</v>
      </c>
      <c r="F180" s="193" t="s">
        <v>165</v>
      </c>
      <c r="G180" s="197" t="s">
        <v>15</v>
      </c>
      <c r="H180" s="197" t="s">
        <v>67</v>
      </c>
      <c r="I180" s="87"/>
      <c r="K180" s="44"/>
      <c r="M180" s="44"/>
    </row>
    <row r="181" spans="1:13" s="5" customFormat="1" x14ac:dyDescent="0.25">
      <c r="A181" s="39">
        <f t="shared" si="3"/>
        <v>180</v>
      </c>
      <c r="B181" s="45" t="s">
        <v>762</v>
      </c>
      <c r="C181" s="87" t="s">
        <v>12</v>
      </c>
      <c r="D181" s="5" t="s">
        <v>13</v>
      </c>
      <c r="E181" s="5" t="s">
        <v>14</v>
      </c>
      <c r="F181" s="5" t="s">
        <v>165</v>
      </c>
      <c r="G181" s="41" t="s">
        <v>15</v>
      </c>
      <c r="H181" s="41" t="s">
        <v>16</v>
      </c>
      <c r="I181" s="87"/>
      <c r="J181" s="5" t="s">
        <v>31</v>
      </c>
      <c r="K181" s="44" t="s">
        <v>173</v>
      </c>
      <c r="L181" s="42" t="s">
        <v>114</v>
      </c>
      <c r="M181" s="44" t="s">
        <v>191</v>
      </c>
    </row>
    <row r="182" spans="1:13" s="5" customFormat="1" x14ac:dyDescent="0.25">
      <c r="A182" s="39">
        <f t="shared" si="3"/>
        <v>181</v>
      </c>
      <c r="B182" s="45" t="s">
        <v>762</v>
      </c>
      <c r="C182" s="87" t="s">
        <v>12</v>
      </c>
      <c r="D182" s="5" t="s">
        <v>13</v>
      </c>
      <c r="E182" s="5" t="s">
        <v>14</v>
      </c>
      <c r="F182" s="5" t="s">
        <v>165</v>
      </c>
      <c r="G182" s="41" t="s">
        <v>15</v>
      </c>
      <c r="H182" s="41" t="s">
        <v>26</v>
      </c>
      <c r="I182" s="87" t="s">
        <v>22</v>
      </c>
      <c r="K182" s="44"/>
      <c r="M182" s="44"/>
    </row>
    <row r="183" spans="1:13" s="5" customFormat="1" x14ac:dyDescent="0.25">
      <c r="A183" s="39">
        <f t="shared" si="3"/>
        <v>182</v>
      </c>
      <c r="B183" s="45" t="s">
        <v>762</v>
      </c>
      <c r="C183" s="87" t="s">
        <v>12</v>
      </c>
      <c r="D183" s="5" t="s">
        <v>13</v>
      </c>
      <c r="E183" s="5" t="s">
        <v>14</v>
      </c>
      <c r="F183" s="5" t="s">
        <v>165</v>
      </c>
      <c r="G183" s="41" t="s">
        <v>15</v>
      </c>
      <c r="H183" s="46" t="s">
        <v>30</v>
      </c>
      <c r="I183" s="87" t="s">
        <v>22</v>
      </c>
      <c r="J183" s="5" t="s">
        <v>17</v>
      </c>
      <c r="K183" s="44" t="s">
        <v>192</v>
      </c>
      <c r="M183" s="44" t="s">
        <v>193</v>
      </c>
    </row>
    <row r="184" spans="1:13" s="5" customFormat="1" x14ac:dyDescent="0.25">
      <c r="A184" s="39">
        <f t="shared" si="3"/>
        <v>183</v>
      </c>
      <c r="B184" s="45" t="s">
        <v>762</v>
      </c>
      <c r="C184" s="87" t="s">
        <v>12</v>
      </c>
      <c r="D184" s="5" t="s">
        <v>13</v>
      </c>
      <c r="E184" s="5" t="s">
        <v>14</v>
      </c>
      <c r="F184" s="5" t="s">
        <v>165</v>
      </c>
      <c r="G184" s="41" t="s">
        <v>15</v>
      </c>
      <c r="H184" s="41" t="s">
        <v>26</v>
      </c>
      <c r="I184" s="87" t="s">
        <v>22</v>
      </c>
      <c r="K184" s="44"/>
      <c r="M184" s="44"/>
    </row>
    <row r="185" spans="1:13" s="5" customFormat="1" x14ac:dyDescent="0.25">
      <c r="A185" s="39">
        <f t="shared" si="3"/>
        <v>184</v>
      </c>
      <c r="B185" s="45" t="s">
        <v>762</v>
      </c>
      <c r="C185" s="87" t="s">
        <v>12</v>
      </c>
      <c r="D185" s="5" t="s">
        <v>13</v>
      </c>
      <c r="E185" s="5" t="s">
        <v>14</v>
      </c>
      <c r="F185" s="5" t="s">
        <v>165</v>
      </c>
      <c r="G185" s="41" t="s">
        <v>864</v>
      </c>
      <c r="H185" s="41" t="s">
        <v>26</v>
      </c>
      <c r="I185" s="87" t="s">
        <v>22</v>
      </c>
      <c r="K185" s="44"/>
      <c r="M185" s="44"/>
    </row>
    <row r="186" spans="1:13" s="5" customFormat="1" x14ac:dyDescent="0.25">
      <c r="A186" s="39">
        <f t="shared" si="3"/>
        <v>185</v>
      </c>
      <c r="B186" s="45" t="s">
        <v>762</v>
      </c>
      <c r="C186" s="87" t="s">
        <v>12</v>
      </c>
      <c r="D186" s="5" t="s">
        <v>13</v>
      </c>
      <c r="E186" s="5" t="s">
        <v>14</v>
      </c>
      <c r="F186" s="5" t="s">
        <v>165</v>
      </c>
      <c r="G186" s="41" t="s">
        <v>15</v>
      </c>
      <c r="H186" s="46" t="s">
        <v>30</v>
      </c>
      <c r="I186" s="87" t="s">
        <v>22</v>
      </c>
      <c r="J186" s="44" t="s">
        <v>17</v>
      </c>
      <c r="K186" s="172" t="s">
        <v>18</v>
      </c>
      <c r="L186" s="42" t="s">
        <v>125</v>
      </c>
      <c r="M186" s="44" t="s">
        <v>48</v>
      </c>
    </row>
    <row r="187" spans="1:13" s="5" customFormat="1" x14ac:dyDescent="0.25">
      <c r="A187" s="39">
        <f t="shared" si="3"/>
        <v>186</v>
      </c>
      <c r="B187" s="45" t="s">
        <v>762</v>
      </c>
      <c r="C187" s="87" t="s">
        <v>12</v>
      </c>
      <c r="D187" s="5" t="s">
        <v>13</v>
      </c>
      <c r="E187" s="5" t="s">
        <v>14</v>
      </c>
      <c r="F187" s="5" t="s">
        <v>165</v>
      </c>
      <c r="G187" s="41" t="s">
        <v>15</v>
      </c>
      <c r="H187" s="46" t="s">
        <v>30</v>
      </c>
      <c r="I187" s="87" t="s">
        <v>194</v>
      </c>
      <c r="J187" s="5" t="s">
        <v>17</v>
      </c>
      <c r="K187" s="172" t="s">
        <v>195</v>
      </c>
      <c r="L187" s="42"/>
      <c r="M187" s="44" t="s">
        <v>196</v>
      </c>
    </row>
    <row r="188" spans="1:13" s="5" customFormat="1" x14ac:dyDescent="0.25">
      <c r="A188" s="14">
        <f t="shared" si="3"/>
        <v>187</v>
      </c>
      <c r="B188" s="33" t="s">
        <v>762</v>
      </c>
      <c r="C188" s="86" t="s">
        <v>12</v>
      </c>
      <c r="D188" s="15" t="s">
        <v>13</v>
      </c>
      <c r="E188" s="15" t="s">
        <v>14</v>
      </c>
      <c r="F188" s="15" t="s">
        <v>165</v>
      </c>
      <c r="G188" s="18" t="s">
        <v>15</v>
      </c>
      <c r="H188" s="19" t="s">
        <v>122</v>
      </c>
      <c r="I188" s="86"/>
      <c r="J188" s="15"/>
      <c r="K188" s="16"/>
      <c r="L188" s="15"/>
      <c r="M188" s="16"/>
    </row>
    <row r="189" spans="1:13" s="5" customFormat="1" x14ac:dyDescent="0.25">
      <c r="A189" s="39">
        <f t="shared" si="3"/>
        <v>188</v>
      </c>
      <c r="B189" s="45" t="s">
        <v>762</v>
      </c>
      <c r="C189" s="87" t="s">
        <v>12</v>
      </c>
      <c r="D189" s="5" t="s">
        <v>13</v>
      </c>
      <c r="E189" s="5" t="s">
        <v>14</v>
      </c>
      <c r="F189" s="5" t="s">
        <v>165</v>
      </c>
      <c r="G189" s="41" t="s">
        <v>15</v>
      </c>
      <c r="H189" s="41" t="s">
        <v>16</v>
      </c>
      <c r="I189" s="87"/>
      <c r="J189" s="5" t="s">
        <v>17</v>
      </c>
      <c r="K189" s="44" t="s">
        <v>173</v>
      </c>
      <c r="L189" s="42" t="s">
        <v>114</v>
      </c>
      <c r="M189" s="44" t="s">
        <v>197</v>
      </c>
    </row>
    <row r="190" spans="1:13" s="5" customFormat="1" x14ac:dyDescent="0.25">
      <c r="A190" s="39">
        <f t="shared" si="3"/>
        <v>189</v>
      </c>
      <c r="B190" s="45" t="s">
        <v>762</v>
      </c>
      <c r="C190" s="87" t="s">
        <v>12</v>
      </c>
      <c r="D190" s="5" t="s">
        <v>13</v>
      </c>
      <c r="E190" s="5" t="s">
        <v>14</v>
      </c>
      <c r="F190" s="5" t="s">
        <v>165</v>
      </c>
      <c r="G190" s="41" t="s">
        <v>15</v>
      </c>
      <c r="H190" s="46" t="s">
        <v>30</v>
      </c>
      <c r="I190" s="87" t="s">
        <v>22</v>
      </c>
      <c r="J190" s="5" t="s">
        <v>17</v>
      </c>
      <c r="K190" s="44" t="s">
        <v>173</v>
      </c>
      <c r="L190" s="42" t="s">
        <v>114</v>
      </c>
      <c r="M190" s="44" t="s">
        <v>141</v>
      </c>
    </row>
    <row r="191" spans="1:13" s="5" customFormat="1" x14ac:dyDescent="0.25">
      <c r="A191" s="39">
        <f t="shared" si="3"/>
        <v>190</v>
      </c>
      <c r="B191" s="45" t="s">
        <v>762</v>
      </c>
      <c r="C191" s="87" t="s">
        <v>12</v>
      </c>
      <c r="D191" s="5" t="s">
        <v>13</v>
      </c>
      <c r="E191" s="5" t="s">
        <v>14</v>
      </c>
      <c r="F191" s="5" t="s">
        <v>165</v>
      </c>
      <c r="G191" s="41" t="s">
        <v>15</v>
      </c>
      <c r="H191" s="46" t="s">
        <v>30</v>
      </c>
      <c r="I191" s="87" t="s">
        <v>22</v>
      </c>
      <c r="J191" s="5" t="s">
        <v>17</v>
      </c>
      <c r="K191" s="44" t="s">
        <v>784</v>
      </c>
      <c r="L191" s="5" t="s">
        <v>80</v>
      </c>
      <c r="M191" s="44" t="s">
        <v>199</v>
      </c>
    </row>
    <row r="192" spans="1:13" s="5" customFormat="1" x14ac:dyDescent="0.25">
      <c r="A192" s="8">
        <f t="shared" si="3"/>
        <v>191</v>
      </c>
      <c r="B192" s="32" t="s">
        <v>762</v>
      </c>
      <c r="C192" s="85" t="s">
        <v>12</v>
      </c>
      <c r="D192" s="9" t="s">
        <v>13</v>
      </c>
      <c r="E192" s="9" t="s">
        <v>14</v>
      </c>
      <c r="F192" s="10" t="s">
        <v>735</v>
      </c>
      <c r="G192" s="11" t="s">
        <v>15</v>
      </c>
      <c r="H192" s="9" t="s">
        <v>63</v>
      </c>
      <c r="I192" s="87"/>
      <c r="K192" s="44"/>
      <c r="M192" s="44"/>
    </row>
    <row r="193" spans="1:13" s="5" customFormat="1" x14ac:dyDescent="0.25">
      <c r="A193" s="39">
        <f t="shared" si="3"/>
        <v>192</v>
      </c>
      <c r="B193" s="45" t="s">
        <v>762</v>
      </c>
      <c r="C193" s="87" t="s">
        <v>12</v>
      </c>
      <c r="D193" s="5" t="s">
        <v>13</v>
      </c>
      <c r="E193" s="5" t="s">
        <v>14</v>
      </c>
      <c r="F193" s="5" t="s">
        <v>165</v>
      </c>
      <c r="G193" s="41" t="s">
        <v>15</v>
      </c>
      <c r="H193" s="41" t="s">
        <v>16</v>
      </c>
      <c r="I193" s="87"/>
      <c r="J193" s="5" t="s">
        <v>17</v>
      </c>
      <c r="K193" s="44" t="s">
        <v>186</v>
      </c>
      <c r="L193" s="42" t="s">
        <v>114</v>
      </c>
      <c r="M193" s="44" t="s">
        <v>400</v>
      </c>
    </row>
    <row r="194" spans="1:13" s="5" customFormat="1" x14ac:dyDescent="0.25">
      <c r="A194" s="39">
        <f t="shared" si="3"/>
        <v>193</v>
      </c>
      <c r="B194" s="45" t="s">
        <v>762</v>
      </c>
      <c r="C194" s="87" t="s">
        <v>12</v>
      </c>
      <c r="D194" s="5" t="s">
        <v>13</v>
      </c>
      <c r="E194" s="5" t="s">
        <v>14</v>
      </c>
      <c r="F194" s="5" t="s">
        <v>165</v>
      </c>
      <c r="G194" s="41" t="s">
        <v>15</v>
      </c>
      <c r="H194" s="41" t="s">
        <v>26</v>
      </c>
      <c r="I194" s="87" t="s">
        <v>22</v>
      </c>
      <c r="K194" s="44"/>
      <c r="M194" s="44"/>
    </row>
    <row r="195" spans="1:13" s="5" customFormat="1" ht="30" x14ac:dyDescent="0.25">
      <c r="A195" s="39">
        <f t="shared" si="3"/>
        <v>194</v>
      </c>
      <c r="B195" s="45" t="s">
        <v>762</v>
      </c>
      <c r="C195" s="87" t="s">
        <v>12</v>
      </c>
      <c r="D195" s="5" t="s">
        <v>13</v>
      </c>
      <c r="E195" s="5" t="s">
        <v>14</v>
      </c>
      <c r="F195" s="5" t="s">
        <v>165</v>
      </c>
      <c r="G195" s="41" t="s">
        <v>15</v>
      </c>
      <c r="H195" s="41" t="s">
        <v>16</v>
      </c>
      <c r="I195" s="87"/>
      <c r="J195" s="5" t="s">
        <v>31</v>
      </c>
      <c r="K195" s="44" t="s">
        <v>719</v>
      </c>
      <c r="M195" s="172" t="s">
        <v>720</v>
      </c>
    </row>
    <row r="196" spans="1:13" s="5" customFormat="1" x14ac:dyDescent="0.25">
      <c r="A196" s="39">
        <f t="shared" si="3"/>
        <v>195</v>
      </c>
      <c r="B196" s="45" t="s">
        <v>762</v>
      </c>
      <c r="C196" s="87" t="s">
        <v>12</v>
      </c>
      <c r="D196" s="5" t="s">
        <v>13</v>
      </c>
      <c r="E196" s="5" t="s">
        <v>14</v>
      </c>
      <c r="F196" s="5" t="s">
        <v>165</v>
      </c>
      <c r="G196" s="41" t="s">
        <v>15</v>
      </c>
      <c r="H196" s="46" t="s">
        <v>30</v>
      </c>
      <c r="I196" s="87" t="s">
        <v>22</v>
      </c>
      <c r="J196" s="5" t="s">
        <v>200</v>
      </c>
      <c r="K196" s="44" t="s">
        <v>173</v>
      </c>
      <c r="L196" s="42" t="s">
        <v>114</v>
      </c>
      <c r="M196" s="172" t="s">
        <v>201</v>
      </c>
    </row>
    <row r="197" spans="1:13" s="5" customFormat="1" x14ac:dyDescent="0.25">
      <c r="A197" s="39">
        <f t="shared" si="3"/>
        <v>196</v>
      </c>
      <c r="B197" s="45" t="s">
        <v>762</v>
      </c>
      <c r="C197" s="87" t="s">
        <v>12</v>
      </c>
      <c r="D197" s="5" t="s">
        <v>13</v>
      </c>
      <c r="E197" s="5" t="s">
        <v>14</v>
      </c>
      <c r="F197" s="5" t="s">
        <v>165</v>
      </c>
      <c r="G197" s="41" t="s">
        <v>15</v>
      </c>
      <c r="H197" s="41" t="s">
        <v>16</v>
      </c>
      <c r="I197" s="87"/>
      <c r="J197" s="5" t="s">
        <v>17</v>
      </c>
      <c r="K197" s="172" t="s">
        <v>202</v>
      </c>
      <c r="L197" s="42" t="s">
        <v>47</v>
      </c>
      <c r="M197" s="172" t="s">
        <v>203</v>
      </c>
    </row>
    <row r="198" spans="1:13" s="5" customFormat="1" x14ac:dyDescent="0.25">
      <c r="A198" s="39">
        <f t="shared" si="3"/>
        <v>197</v>
      </c>
      <c r="B198" s="45" t="s">
        <v>762</v>
      </c>
      <c r="C198" s="87" t="s">
        <v>12</v>
      </c>
      <c r="D198" s="5" t="s">
        <v>13</v>
      </c>
      <c r="E198" s="5" t="s">
        <v>14</v>
      </c>
      <c r="F198" s="5" t="s">
        <v>165</v>
      </c>
      <c r="G198" s="41" t="s">
        <v>15</v>
      </c>
      <c r="H198" s="41" t="s">
        <v>26</v>
      </c>
      <c r="I198" s="87" t="s">
        <v>22</v>
      </c>
      <c r="K198" s="44"/>
      <c r="L198" s="42"/>
      <c r="M198" s="172"/>
    </row>
    <row r="199" spans="1:13" s="5" customFormat="1" x14ac:dyDescent="0.25">
      <c r="A199" s="39">
        <f t="shared" si="3"/>
        <v>198</v>
      </c>
      <c r="B199" s="45" t="s">
        <v>762</v>
      </c>
      <c r="C199" s="87" t="s">
        <v>12</v>
      </c>
      <c r="D199" s="5" t="s">
        <v>13</v>
      </c>
      <c r="E199" s="5" t="s">
        <v>14</v>
      </c>
      <c r="F199" s="5" t="s">
        <v>165</v>
      </c>
      <c r="G199" s="41" t="s">
        <v>15</v>
      </c>
      <c r="H199" s="41" t="s">
        <v>16</v>
      </c>
      <c r="I199" s="87"/>
      <c r="J199" s="44" t="s">
        <v>17</v>
      </c>
      <c r="K199" s="172" t="s">
        <v>18</v>
      </c>
      <c r="L199" s="42" t="s">
        <v>125</v>
      </c>
      <c r="M199" s="172" t="s">
        <v>48</v>
      </c>
    </row>
    <row r="200" spans="1:13" s="5" customFormat="1" x14ac:dyDescent="0.25">
      <c r="A200" s="39">
        <f t="shared" si="3"/>
        <v>199</v>
      </c>
      <c r="B200" s="45" t="s">
        <v>762</v>
      </c>
      <c r="C200" s="87" t="s">
        <v>12</v>
      </c>
      <c r="D200" s="5" t="s">
        <v>13</v>
      </c>
      <c r="E200" s="5" t="s">
        <v>14</v>
      </c>
      <c r="F200" s="5" t="s">
        <v>165</v>
      </c>
      <c r="G200" s="41" t="s">
        <v>15</v>
      </c>
      <c r="H200" s="41" t="s">
        <v>16</v>
      </c>
      <c r="I200" s="87"/>
      <c r="J200" s="5" t="s">
        <v>17</v>
      </c>
      <c r="K200" s="44" t="s">
        <v>173</v>
      </c>
      <c r="L200" s="180" t="s">
        <v>114</v>
      </c>
      <c r="M200" s="172" t="s">
        <v>141</v>
      </c>
    </row>
    <row r="201" spans="1:13" s="5" customFormat="1" x14ac:dyDescent="0.25">
      <c r="A201" s="192">
        <f t="shared" si="3"/>
        <v>200</v>
      </c>
      <c r="B201" s="195" t="s">
        <v>762</v>
      </c>
      <c r="C201" s="194" t="s">
        <v>12</v>
      </c>
      <c r="D201" s="193" t="s">
        <v>13</v>
      </c>
      <c r="E201" s="193" t="s">
        <v>14</v>
      </c>
      <c r="F201" s="193" t="s">
        <v>165</v>
      </c>
      <c r="G201" s="197" t="s">
        <v>15</v>
      </c>
      <c r="H201" s="197" t="s">
        <v>67</v>
      </c>
      <c r="I201" s="87"/>
      <c r="K201" s="44"/>
      <c r="L201" s="42"/>
      <c r="M201" s="172"/>
    </row>
    <row r="202" spans="1:13" s="5" customFormat="1" x14ac:dyDescent="0.25">
      <c r="A202" s="39">
        <f t="shared" si="3"/>
        <v>201</v>
      </c>
      <c r="B202" s="45" t="s">
        <v>762</v>
      </c>
      <c r="C202" s="87" t="s">
        <v>12</v>
      </c>
      <c r="D202" s="5" t="s">
        <v>13</v>
      </c>
      <c r="E202" s="5" t="s">
        <v>14</v>
      </c>
      <c r="F202" s="5" t="s">
        <v>165</v>
      </c>
      <c r="G202" s="41" t="s">
        <v>15</v>
      </c>
      <c r="H202" s="41" t="s">
        <v>26</v>
      </c>
      <c r="I202" s="87" t="s">
        <v>22</v>
      </c>
      <c r="K202" s="44"/>
      <c r="L202" s="42"/>
      <c r="M202" s="172"/>
    </row>
    <row r="203" spans="1:13" s="5" customFormat="1" x14ac:dyDescent="0.25">
      <c r="A203" s="39">
        <f t="shared" si="3"/>
        <v>202</v>
      </c>
      <c r="B203" s="45" t="s">
        <v>762</v>
      </c>
      <c r="C203" s="87" t="s">
        <v>12</v>
      </c>
      <c r="D203" s="5" t="s">
        <v>13</v>
      </c>
      <c r="E203" s="5" t="s">
        <v>14</v>
      </c>
      <c r="F203" s="5" t="s">
        <v>165</v>
      </c>
      <c r="G203" s="41" t="s">
        <v>15</v>
      </c>
      <c r="H203" s="41" t="s">
        <v>26</v>
      </c>
      <c r="I203" s="87" t="s">
        <v>22</v>
      </c>
      <c r="K203" s="44"/>
      <c r="L203" s="42"/>
      <c r="M203" s="172"/>
    </row>
    <row r="204" spans="1:13" s="5" customFormat="1" x14ac:dyDescent="0.25">
      <c r="A204" s="192">
        <f t="shared" si="3"/>
        <v>203</v>
      </c>
      <c r="B204" s="195" t="s">
        <v>762</v>
      </c>
      <c r="C204" s="194" t="s">
        <v>12</v>
      </c>
      <c r="D204" s="193" t="s">
        <v>13</v>
      </c>
      <c r="E204" s="193" t="s">
        <v>14</v>
      </c>
      <c r="F204" s="193" t="s">
        <v>165</v>
      </c>
      <c r="G204" s="197" t="s">
        <v>15</v>
      </c>
      <c r="H204" s="197" t="s">
        <v>67</v>
      </c>
      <c r="I204" s="87"/>
      <c r="K204" s="44"/>
      <c r="L204" s="42"/>
      <c r="M204" s="172"/>
    </row>
    <row r="205" spans="1:13" s="5" customFormat="1" x14ac:dyDescent="0.25">
      <c r="A205" s="39">
        <f t="shared" si="3"/>
        <v>204</v>
      </c>
      <c r="B205" s="45" t="s">
        <v>762</v>
      </c>
      <c r="C205" s="87" t="s">
        <v>12</v>
      </c>
      <c r="D205" s="5" t="s">
        <v>13</v>
      </c>
      <c r="E205" s="5" t="s">
        <v>14</v>
      </c>
      <c r="F205" s="5" t="s">
        <v>165</v>
      </c>
      <c r="G205" s="41" t="s">
        <v>15</v>
      </c>
      <c r="H205" s="41" t="s">
        <v>30</v>
      </c>
      <c r="I205" s="87" t="s">
        <v>22</v>
      </c>
      <c r="J205" s="5" t="s">
        <v>17</v>
      </c>
      <c r="K205" s="44" t="s">
        <v>204</v>
      </c>
      <c r="L205" s="42"/>
      <c r="M205" s="172" t="s">
        <v>205</v>
      </c>
    </row>
    <row r="206" spans="1:13" s="5" customFormat="1" x14ac:dyDescent="0.25">
      <c r="A206" s="39">
        <f t="shared" si="3"/>
        <v>205</v>
      </c>
      <c r="B206" s="45" t="s">
        <v>762</v>
      </c>
      <c r="C206" s="87" t="s">
        <v>12</v>
      </c>
      <c r="D206" s="5" t="s">
        <v>13</v>
      </c>
      <c r="E206" s="5" t="s">
        <v>14</v>
      </c>
      <c r="F206" s="5" t="s">
        <v>165</v>
      </c>
      <c r="G206" s="41" t="s">
        <v>15</v>
      </c>
      <c r="H206" s="41" t="s">
        <v>30</v>
      </c>
      <c r="I206" s="87" t="s">
        <v>22</v>
      </c>
      <c r="J206" s="5" t="s">
        <v>206</v>
      </c>
      <c r="K206" s="172" t="s">
        <v>207</v>
      </c>
      <c r="L206" s="42"/>
      <c r="M206" s="172" t="s">
        <v>208</v>
      </c>
    </row>
    <row r="207" spans="1:13" s="5" customFormat="1" x14ac:dyDescent="0.25">
      <c r="A207" s="39">
        <f t="shared" si="3"/>
        <v>206</v>
      </c>
      <c r="B207" s="45" t="s">
        <v>762</v>
      </c>
      <c r="C207" s="87" t="s">
        <v>12</v>
      </c>
      <c r="D207" s="5" t="s">
        <v>13</v>
      </c>
      <c r="E207" s="5" t="s">
        <v>14</v>
      </c>
      <c r="F207" s="5" t="s">
        <v>165</v>
      </c>
      <c r="G207" s="41" t="s">
        <v>15</v>
      </c>
      <c r="H207" s="41" t="s">
        <v>16</v>
      </c>
      <c r="I207" s="87"/>
      <c r="J207" s="5" t="s">
        <v>17</v>
      </c>
      <c r="K207" s="44" t="s">
        <v>173</v>
      </c>
      <c r="L207" s="42" t="s">
        <v>114</v>
      </c>
      <c r="M207" s="172" t="s">
        <v>141</v>
      </c>
    </row>
    <row r="208" spans="1:13" s="5" customFormat="1" x14ac:dyDescent="0.25">
      <c r="A208" s="39">
        <f t="shared" si="3"/>
        <v>207</v>
      </c>
      <c r="B208" s="45" t="s">
        <v>762</v>
      </c>
      <c r="C208" s="87" t="s">
        <v>12</v>
      </c>
      <c r="D208" s="5" t="s">
        <v>13</v>
      </c>
      <c r="E208" s="5" t="s">
        <v>14</v>
      </c>
      <c r="F208" s="5" t="s">
        <v>165</v>
      </c>
      <c r="G208" s="41" t="s">
        <v>15</v>
      </c>
      <c r="H208" s="41" t="s">
        <v>26</v>
      </c>
      <c r="I208" s="87" t="s">
        <v>22</v>
      </c>
      <c r="K208" s="44"/>
      <c r="L208" s="42"/>
      <c r="M208" s="172"/>
    </row>
    <row r="209" spans="1:13" s="5" customFormat="1" x14ac:dyDescent="0.25">
      <c r="A209" s="39">
        <f t="shared" si="3"/>
        <v>208</v>
      </c>
      <c r="B209" s="45" t="s">
        <v>762</v>
      </c>
      <c r="C209" s="87" t="s">
        <v>12</v>
      </c>
      <c r="D209" s="5" t="s">
        <v>13</v>
      </c>
      <c r="E209" s="5" t="s">
        <v>14</v>
      </c>
      <c r="F209" s="5" t="s">
        <v>209</v>
      </c>
      <c r="G209" s="41" t="s">
        <v>15</v>
      </c>
      <c r="H209" s="41" t="s">
        <v>16</v>
      </c>
      <c r="I209" s="87"/>
      <c r="J209" s="5" t="s">
        <v>210</v>
      </c>
      <c r="K209" s="44" t="s">
        <v>211</v>
      </c>
      <c r="L209" s="5" t="s">
        <v>776</v>
      </c>
      <c r="M209" s="44" t="s">
        <v>136</v>
      </c>
    </row>
    <row r="210" spans="1:13" s="5" customFormat="1" x14ac:dyDescent="0.25">
      <c r="A210" s="39">
        <f t="shared" si="3"/>
        <v>209</v>
      </c>
      <c r="B210" s="45" t="s">
        <v>762</v>
      </c>
      <c r="C210" s="87" t="s">
        <v>12</v>
      </c>
      <c r="D210" s="5" t="s">
        <v>13</v>
      </c>
      <c r="E210" s="5" t="s">
        <v>14</v>
      </c>
      <c r="F210" s="5" t="s">
        <v>209</v>
      </c>
      <c r="G210" s="41" t="s">
        <v>15</v>
      </c>
      <c r="H210" s="41" t="s">
        <v>26</v>
      </c>
      <c r="I210" s="87" t="s">
        <v>22</v>
      </c>
      <c r="K210" s="44"/>
      <c r="M210" s="44"/>
    </row>
    <row r="211" spans="1:13" s="5" customFormat="1" x14ac:dyDescent="0.25">
      <c r="A211" s="39">
        <f t="shared" si="3"/>
        <v>210</v>
      </c>
      <c r="B211" s="45" t="s">
        <v>762</v>
      </c>
      <c r="C211" s="87" t="s">
        <v>12</v>
      </c>
      <c r="D211" s="5" t="s">
        <v>13</v>
      </c>
      <c r="E211" s="5" t="s">
        <v>14</v>
      </c>
      <c r="F211" s="5" t="s">
        <v>209</v>
      </c>
      <c r="G211" s="41" t="s">
        <v>96</v>
      </c>
      <c r="H211" s="41" t="s">
        <v>30</v>
      </c>
      <c r="I211" s="87" t="s">
        <v>104</v>
      </c>
      <c r="K211" s="44"/>
      <c r="M211" s="44" t="s">
        <v>92</v>
      </c>
    </row>
    <row r="212" spans="1:13" s="5" customFormat="1" x14ac:dyDescent="0.25">
      <c r="A212" s="39">
        <f t="shared" si="3"/>
        <v>211</v>
      </c>
      <c r="B212" s="45" t="s">
        <v>762</v>
      </c>
      <c r="C212" s="87" t="s">
        <v>12</v>
      </c>
      <c r="D212" s="5" t="s">
        <v>13</v>
      </c>
      <c r="E212" s="5" t="s">
        <v>14</v>
      </c>
      <c r="F212" s="5" t="s">
        <v>209</v>
      </c>
      <c r="G212" s="41" t="s">
        <v>15</v>
      </c>
      <c r="H212" s="46" t="s">
        <v>26</v>
      </c>
      <c r="I212" s="87" t="s">
        <v>104</v>
      </c>
      <c r="K212" s="44"/>
      <c r="M212" s="44"/>
    </row>
    <row r="213" spans="1:13" s="5" customFormat="1" x14ac:dyDescent="0.25">
      <c r="A213" s="39">
        <f t="shared" si="3"/>
        <v>212</v>
      </c>
      <c r="B213" s="45" t="s">
        <v>762</v>
      </c>
      <c r="C213" s="87" t="s">
        <v>12</v>
      </c>
      <c r="D213" s="5" t="s">
        <v>13</v>
      </c>
      <c r="E213" s="5" t="s">
        <v>14</v>
      </c>
      <c r="F213" s="5" t="s">
        <v>209</v>
      </c>
      <c r="G213" s="41" t="s">
        <v>15</v>
      </c>
      <c r="H213" s="46" t="s">
        <v>30</v>
      </c>
      <c r="I213" s="87" t="s">
        <v>22</v>
      </c>
      <c r="J213" s="5" t="s">
        <v>17</v>
      </c>
      <c r="K213" s="44" t="s">
        <v>212</v>
      </c>
      <c r="L213" s="180" t="s">
        <v>114</v>
      </c>
      <c r="M213" s="44" t="s">
        <v>213</v>
      </c>
    </row>
    <row r="214" spans="1:13" s="5" customFormat="1" x14ac:dyDescent="0.25">
      <c r="A214" s="39">
        <f t="shared" si="3"/>
        <v>213</v>
      </c>
      <c r="B214" s="45" t="s">
        <v>762</v>
      </c>
      <c r="C214" s="87" t="s">
        <v>12</v>
      </c>
      <c r="D214" s="5" t="s">
        <v>13</v>
      </c>
      <c r="E214" s="5" t="s">
        <v>14</v>
      </c>
      <c r="F214" s="5" t="s">
        <v>209</v>
      </c>
      <c r="G214" s="41" t="s">
        <v>15</v>
      </c>
      <c r="H214" s="46" t="s">
        <v>30</v>
      </c>
      <c r="I214" s="87" t="s">
        <v>104</v>
      </c>
      <c r="J214" s="5" t="s">
        <v>17</v>
      </c>
      <c r="K214" s="44" t="s">
        <v>777</v>
      </c>
      <c r="L214" s="42" t="s">
        <v>125</v>
      </c>
      <c r="M214" s="44" t="s">
        <v>78</v>
      </c>
    </row>
    <row r="215" spans="1:13" s="5" customFormat="1" x14ac:dyDescent="0.25">
      <c r="A215" s="39">
        <f t="shared" si="3"/>
        <v>214</v>
      </c>
      <c r="B215" s="45" t="s">
        <v>762</v>
      </c>
      <c r="C215" s="87" t="s">
        <v>12</v>
      </c>
      <c r="D215" s="5" t="s">
        <v>13</v>
      </c>
      <c r="E215" s="5" t="s">
        <v>14</v>
      </c>
      <c r="F215" s="5" t="s">
        <v>209</v>
      </c>
      <c r="G215" s="41" t="s">
        <v>15</v>
      </c>
      <c r="H215" s="46" t="s">
        <v>26</v>
      </c>
      <c r="I215" s="87" t="s">
        <v>85</v>
      </c>
      <c r="J215" s="44" t="s">
        <v>131</v>
      </c>
      <c r="K215" s="172" t="s">
        <v>18</v>
      </c>
      <c r="L215" s="42" t="s">
        <v>125</v>
      </c>
      <c r="M215" s="44" t="s">
        <v>214</v>
      </c>
    </row>
    <row r="216" spans="1:13" s="5" customFormat="1" x14ac:dyDescent="0.25">
      <c r="A216" s="39">
        <f t="shared" si="3"/>
        <v>215</v>
      </c>
      <c r="B216" s="45" t="s">
        <v>762</v>
      </c>
      <c r="C216" s="87" t="s">
        <v>12</v>
      </c>
      <c r="D216" s="5" t="s">
        <v>13</v>
      </c>
      <c r="E216" s="5" t="s">
        <v>14</v>
      </c>
      <c r="F216" s="5" t="s">
        <v>209</v>
      </c>
      <c r="G216" s="41" t="s">
        <v>15</v>
      </c>
      <c r="H216" s="46" t="s">
        <v>26</v>
      </c>
      <c r="I216" s="87" t="s">
        <v>22</v>
      </c>
      <c r="K216" s="44"/>
      <c r="M216" s="44"/>
    </row>
    <row r="217" spans="1:13" s="5" customFormat="1" x14ac:dyDescent="0.25">
      <c r="A217" s="39">
        <f t="shared" si="3"/>
        <v>216</v>
      </c>
      <c r="B217" s="45" t="s">
        <v>762</v>
      </c>
      <c r="C217" s="87" t="s">
        <v>12</v>
      </c>
      <c r="D217" s="5" t="s">
        <v>13</v>
      </c>
      <c r="E217" s="5" t="s">
        <v>14</v>
      </c>
      <c r="F217" s="5" t="s">
        <v>209</v>
      </c>
      <c r="G217" s="41" t="s">
        <v>15</v>
      </c>
      <c r="H217" s="46" t="s">
        <v>16</v>
      </c>
      <c r="I217" s="87" t="s">
        <v>693</v>
      </c>
      <c r="J217" s="5" t="s">
        <v>802</v>
      </c>
      <c r="K217" s="44"/>
      <c r="M217" s="44" t="s">
        <v>803</v>
      </c>
    </row>
    <row r="218" spans="1:13" s="5" customFormat="1" x14ac:dyDescent="0.25">
      <c r="A218" s="39">
        <f t="shared" si="3"/>
        <v>217</v>
      </c>
      <c r="B218" s="45" t="s">
        <v>762</v>
      </c>
      <c r="C218" s="87" t="s">
        <v>12</v>
      </c>
      <c r="D218" s="5" t="s">
        <v>13</v>
      </c>
      <c r="E218" s="5" t="s">
        <v>14</v>
      </c>
      <c r="F218" s="5" t="s">
        <v>209</v>
      </c>
      <c r="G218" s="41" t="s">
        <v>15</v>
      </c>
      <c r="H218" s="41" t="s">
        <v>16</v>
      </c>
      <c r="I218" s="87" t="s">
        <v>693</v>
      </c>
      <c r="J218" s="5" t="s">
        <v>17</v>
      </c>
      <c r="K218" s="44" t="s">
        <v>114</v>
      </c>
      <c r="L218" s="5" t="s">
        <v>114</v>
      </c>
      <c r="M218" s="44"/>
    </row>
    <row r="219" spans="1:13" s="5" customFormat="1" x14ac:dyDescent="0.25">
      <c r="A219" s="39">
        <f t="shared" si="3"/>
        <v>218</v>
      </c>
      <c r="B219" s="45" t="s">
        <v>762</v>
      </c>
      <c r="C219" s="87" t="s">
        <v>12</v>
      </c>
      <c r="D219" s="5" t="s">
        <v>13</v>
      </c>
      <c r="E219" s="5" t="s">
        <v>14</v>
      </c>
      <c r="F219" s="5" t="s">
        <v>209</v>
      </c>
      <c r="G219" s="41" t="s">
        <v>15</v>
      </c>
      <c r="H219" s="41" t="s">
        <v>16</v>
      </c>
      <c r="I219" s="87"/>
      <c r="J219" s="5" t="s">
        <v>131</v>
      </c>
      <c r="K219" s="44" t="s">
        <v>785</v>
      </c>
      <c r="L219" s="5" t="s">
        <v>80</v>
      </c>
      <c r="M219" s="44" t="s">
        <v>448</v>
      </c>
    </row>
    <row r="220" spans="1:13" s="5" customFormat="1" x14ac:dyDescent="0.25">
      <c r="A220" s="39">
        <f t="shared" si="3"/>
        <v>219</v>
      </c>
      <c r="B220" s="45" t="s">
        <v>762</v>
      </c>
      <c r="C220" s="87" t="s">
        <v>12</v>
      </c>
      <c r="D220" s="5" t="s">
        <v>13</v>
      </c>
      <c r="E220" s="5" t="s">
        <v>14</v>
      </c>
      <c r="F220" s="5" t="s">
        <v>209</v>
      </c>
      <c r="G220" s="41" t="s">
        <v>15</v>
      </c>
      <c r="H220" s="46" t="s">
        <v>26</v>
      </c>
      <c r="I220" s="87" t="s">
        <v>104</v>
      </c>
      <c r="K220" s="44"/>
      <c r="M220" s="44"/>
    </row>
    <row r="221" spans="1:13" s="5" customFormat="1" x14ac:dyDescent="0.25">
      <c r="A221" s="39">
        <f t="shared" si="3"/>
        <v>220</v>
      </c>
      <c r="B221" s="45" t="s">
        <v>762</v>
      </c>
      <c r="C221" s="87" t="s">
        <v>12</v>
      </c>
      <c r="D221" s="5" t="s">
        <v>13</v>
      </c>
      <c r="E221" s="5" t="s">
        <v>14</v>
      </c>
      <c r="F221" s="5" t="s">
        <v>209</v>
      </c>
      <c r="G221" s="41" t="s">
        <v>15</v>
      </c>
      <c r="H221" s="41" t="s">
        <v>16</v>
      </c>
      <c r="I221" s="87"/>
      <c r="J221" s="5" t="s">
        <v>215</v>
      </c>
      <c r="K221" s="44" t="s">
        <v>216</v>
      </c>
      <c r="L221" s="40" t="s">
        <v>775</v>
      </c>
      <c r="M221" s="44" t="s">
        <v>217</v>
      </c>
    </row>
    <row r="222" spans="1:13" s="5" customFormat="1" x14ac:dyDescent="0.25">
      <c r="A222" s="39">
        <f t="shared" si="3"/>
        <v>221</v>
      </c>
      <c r="B222" s="45" t="s">
        <v>762</v>
      </c>
      <c r="C222" s="87" t="s">
        <v>12</v>
      </c>
      <c r="D222" s="5" t="s">
        <v>13</v>
      </c>
      <c r="E222" s="5" t="s">
        <v>14</v>
      </c>
      <c r="F222" s="5" t="s">
        <v>740</v>
      </c>
      <c r="G222" s="41" t="s">
        <v>98</v>
      </c>
      <c r="H222" s="46" t="s">
        <v>30</v>
      </c>
      <c r="I222" s="87" t="s">
        <v>104</v>
      </c>
      <c r="J222" s="5" t="s">
        <v>131</v>
      </c>
      <c r="K222" s="44" t="s">
        <v>134</v>
      </c>
      <c r="L222" s="5" t="s">
        <v>125</v>
      </c>
      <c r="M222" s="172" t="s">
        <v>219</v>
      </c>
    </row>
    <row r="223" spans="1:13" s="5" customFormat="1" x14ac:dyDescent="0.25">
      <c r="A223" s="39">
        <f t="shared" si="3"/>
        <v>222</v>
      </c>
      <c r="B223" s="45" t="s">
        <v>762</v>
      </c>
      <c r="C223" s="87" t="s">
        <v>12</v>
      </c>
      <c r="D223" s="5" t="s">
        <v>13</v>
      </c>
      <c r="E223" s="5" t="s">
        <v>14</v>
      </c>
      <c r="F223" s="5" t="s">
        <v>740</v>
      </c>
      <c r="G223" s="41" t="s">
        <v>98</v>
      </c>
      <c r="H223" s="41" t="s">
        <v>16</v>
      </c>
      <c r="I223" s="87"/>
      <c r="J223" s="5" t="s">
        <v>131</v>
      </c>
      <c r="K223" s="44" t="s">
        <v>134</v>
      </c>
      <c r="L223" s="5" t="s">
        <v>125</v>
      </c>
      <c r="M223" s="44" t="s">
        <v>48</v>
      </c>
    </row>
    <row r="224" spans="1:13" s="5" customFormat="1" x14ac:dyDescent="0.25">
      <c r="A224" s="39">
        <f t="shared" si="3"/>
        <v>223</v>
      </c>
      <c r="B224" s="45" t="s">
        <v>762</v>
      </c>
      <c r="C224" s="87" t="s">
        <v>12</v>
      </c>
      <c r="D224" s="5" t="s">
        <v>13</v>
      </c>
      <c r="E224" s="5" t="s">
        <v>14</v>
      </c>
      <c r="F224" s="5" t="s">
        <v>740</v>
      </c>
      <c r="G224" s="41" t="s">
        <v>98</v>
      </c>
      <c r="H224" s="41" t="s">
        <v>16</v>
      </c>
      <c r="I224" s="87"/>
      <c r="J224" s="5" t="s">
        <v>131</v>
      </c>
      <c r="K224" s="44" t="s">
        <v>134</v>
      </c>
      <c r="L224" s="5" t="s">
        <v>125</v>
      </c>
      <c r="M224" s="44" t="s">
        <v>48</v>
      </c>
    </row>
    <row r="225" spans="1:13" s="5" customFormat="1" x14ac:dyDescent="0.25">
      <c r="A225" s="39">
        <f t="shared" ref="A225:A288" si="4">A224+1</f>
        <v>224</v>
      </c>
      <c r="B225" s="45" t="s">
        <v>762</v>
      </c>
      <c r="C225" s="87" t="s">
        <v>12</v>
      </c>
      <c r="D225" s="5" t="s">
        <v>13</v>
      </c>
      <c r="E225" s="5" t="s">
        <v>14</v>
      </c>
      <c r="F225" s="5" t="s">
        <v>740</v>
      </c>
      <c r="G225" s="41" t="s">
        <v>98</v>
      </c>
      <c r="H225" s="46" t="s">
        <v>26</v>
      </c>
      <c r="I225" s="87" t="s">
        <v>22</v>
      </c>
      <c r="K225" s="44"/>
      <c r="M225" s="44"/>
    </row>
    <row r="226" spans="1:13" s="5" customFormat="1" x14ac:dyDescent="0.25">
      <c r="A226" s="39">
        <f t="shared" si="4"/>
        <v>225</v>
      </c>
      <c r="B226" s="45" t="s">
        <v>762</v>
      </c>
      <c r="C226" s="87" t="s">
        <v>12</v>
      </c>
      <c r="D226" s="5" t="s">
        <v>13</v>
      </c>
      <c r="E226" s="5" t="s">
        <v>14</v>
      </c>
      <c r="F226" s="5" t="s">
        <v>740</v>
      </c>
      <c r="G226" s="41" t="s">
        <v>98</v>
      </c>
      <c r="H226" s="41" t="s">
        <v>16</v>
      </c>
      <c r="I226" s="87"/>
      <c r="J226" s="44" t="s">
        <v>131</v>
      </c>
      <c r="K226" s="172" t="s">
        <v>18</v>
      </c>
      <c r="L226" s="42" t="s">
        <v>125</v>
      </c>
      <c r="M226" s="172" t="s">
        <v>721</v>
      </c>
    </row>
    <row r="227" spans="1:13" s="5" customFormat="1" x14ac:dyDescent="0.25">
      <c r="A227" s="39">
        <f t="shared" si="4"/>
        <v>226</v>
      </c>
      <c r="B227" s="45" t="s">
        <v>762</v>
      </c>
      <c r="C227" s="87" t="s">
        <v>12</v>
      </c>
      <c r="D227" s="5" t="s">
        <v>13</v>
      </c>
      <c r="E227" s="5" t="s">
        <v>14</v>
      </c>
      <c r="F227" s="5" t="s">
        <v>740</v>
      </c>
      <c r="G227" s="41" t="s">
        <v>98</v>
      </c>
      <c r="H227" s="41" t="s">
        <v>16</v>
      </c>
      <c r="I227" s="87"/>
      <c r="J227" s="44" t="s">
        <v>131</v>
      </c>
      <c r="K227" s="172" t="s">
        <v>18</v>
      </c>
      <c r="L227" s="42" t="s">
        <v>125</v>
      </c>
      <c r="M227" s="44" t="s">
        <v>103</v>
      </c>
    </row>
    <row r="228" spans="1:13" s="5" customFormat="1" x14ac:dyDescent="0.25">
      <c r="A228" s="39">
        <f t="shared" si="4"/>
        <v>227</v>
      </c>
      <c r="B228" s="45" t="s">
        <v>762</v>
      </c>
      <c r="C228" s="87" t="s">
        <v>12</v>
      </c>
      <c r="D228" s="5" t="s">
        <v>13</v>
      </c>
      <c r="E228" s="5" t="s">
        <v>14</v>
      </c>
      <c r="F228" s="5" t="s">
        <v>740</v>
      </c>
      <c r="G228" s="41" t="s">
        <v>98</v>
      </c>
      <c r="H228" s="46" t="s">
        <v>26</v>
      </c>
      <c r="I228" s="87" t="s">
        <v>22</v>
      </c>
      <c r="K228" s="44"/>
      <c r="M228" s="44"/>
    </row>
    <row r="229" spans="1:13" s="5" customFormat="1" x14ac:dyDescent="0.25">
      <c r="A229" s="39">
        <f t="shared" si="4"/>
        <v>228</v>
      </c>
      <c r="B229" s="45" t="s">
        <v>762</v>
      </c>
      <c r="C229" s="87" t="s">
        <v>12</v>
      </c>
      <c r="D229" s="5" t="s">
        <v>13</v>
      </c>
      <c r="E229" s="5" t="s">
        <v>14</v>
      </c>
      <c r="F229" s="5" t="s">
        <v>740</v>
      </c>
      <c r="G229" s="41" t="s">
        <v>98</v>
      </c>
      <c r="H229" s="41" t="s">
        <v>16</v>
      </c>
      <c r="I229" s="87"/>
      <c r="J229" s="5" t="s">
        <v>722</v>
      </c>
      <c r="K229" s="44" t="s">
        <v>723</v>
      </c>
      <c r="L229" s="42"/>
      <c r="M229" s="44" t="s">
        <v>724</v>
      </c>
    </row>
    <row r="230" spans="1:13" s="5" customFormat="1" x14ac:dyDescent="0.25">
      <c r="A230" s="39">
        <f t="shared" si="4"/>
        <v>229</v>
      </c>
      <c r="B230" s="45" t="s">
        <v>762</v>
      </c>
      <c r="C230" s="87" t="s">
        <v>12</v>
      </c>
      <c r="D230" s="5" t="s">
        <v>13</v>
      </c>
      <c r="E230" s="5" t="s">
        <v>14</v>
      </c>
      <c r="F230" s="5" t="s">
        <v>220</v>
      </c>
      <c r="G230" s="41" t="s">
        <v>15</v>
      </c>
      <c r="H230" s="41" t="s">
        <v>30</v>
      </c>
      <c r="I230" s="42" t="s">
        <v>222</v>
      </c>
      <c r="J230" s="5" t="s">
        <v>215</v>
      </c>
      <c r="K230" s="44" t="s">
        <v>223</v>
      </c>
      <c r="L230" s="42"/>
      <c r="M230" s="44" t="s">
        <v>224</v>
      </c>
    </row>
    <row r="231" spans="1:13" s="5" customFormat="1" x14ac:dyDescent="0.25">
      <c r="A231" s="39">
        <f t="shared" si="4"/>
        <v>230</v>
      </c>
      <c r="B231" s="45" t="s">
        <v>762</v>
      </c>
      <c r="C231" s="87" t="s">
        <v>12</v>
      </c>
      <c r="D231" s="5" t="s">
        <v>13</v>
      </c>
      <c r="E231" s="5" t="s">
        <v>14</v>
      </c>
      <c r="F231" s="5" t="s">
        <v>220</v>
      </c>
      <c r="G231" s="41" t="s">
        <v>15</v>
      </c>
      <c r="H231" s="41" t="s">
        <v>30</v>
      </c>
      <c r="I231" s="87" t="s">
        <v>22</v>
      </c>
      <c r="J231" s="5" t="s">
        <v>215</v>
      </c>
      <c r="K231" s="44" t="s">
        <v>225</v>
      </c>
      <c r="M231" s="44" t="s">
        <v>227</v>
      </c>
    </row>
    <row r="232" spans="1:13" s="5" customFormat="1" x14ac:dyDescent="0.25">
      <c r="A232" s="39">
        <f t="shared" si="4"/>
        <v>231</v>
      </c>
      <c r="B232" s="45" t="s">
        <v>762</v>
      </c>
      <c r="C232" s="87" t="s">
        <v>12</v>
      </c>
      <c r="D232" s="5" t="s">
        <v>13</v>
      </c>
      <c r="E232" s="5" t="s">
        <v>14</v>
      </c>
      <c r="F232" s="5" t="s">
        <v>220</v>
      </c>
      <c r="G232" s="41" t="s">
        <v>15</v>
      </c>
      <c r="H232" s="41" t="s">
        <v>16</v>
      </c>
      <c r="I232" s="87"/>
      <c r="J232" s="5" t="s">
        <v>131</v>
      </c>
      <c r="K232" s="44" t="s">
        <v>169</v>
      </c>
      <c r="L232" s="42"/>
      <c r="M232" s="44" t="s">
        <v>228</v>
      </c>
    </row>
    <row r="233" spans="1:13" s="5" customFormat="1" x14ac:dyDescent="0.25">
      <c r="A233" s="39">
        <f t="shared" si="4"/>
        <v>232</v>
      </c>
      <c r="B233" s="45" t="s">
        <v>762</v>
      </c>
      <c r="C233" s="87" t="s">
        <v>12</v>
      </c>
      <c r="D233" s="5" t="s">
        <v>13</v>
      </c>
      <c r="E233" s="5" t="s">
        <v>14</v>
      </c>
      <c r="F233" s="5" t="s">
        <v>220</v>
      </c>
      <c r="G233" s="41" t="s">
        <v>15</v>
      </c>
      <c r="H233" s="41" t="s">
        <v>16</v>
      </c>
      <c r="I233" s="87"/>
      <c r="J233" s="5" t="s">
        <v>131</v>
      </c>
      <c r="K233" s="44" t="s">
        <v>229</v>
      </c>
      <c r="L233" s="42"/>
      <c r="M233" s="44" t="s">
        <v>230</v>
      </c>
    </row>
    <row r="234" spans="1:13" s="5" customFormat="1" x14ac:dyDescent="0.25">
      <c r="A234" s="39">
        <f t="shared" si="4"/>
        <v>233</v>
      </c>
      <c r="B234" s="45" t="s">
        <v>762</v>
      </c>
      <c r="C234" s="87" t="s">
        <v>12</v>
      </c>
      <c r="D234" s="5" t="s">
        <v>13</v>
      </c>
      <c r="E234" s="5" t="s">
        <v>14</v>
      </c>
      <c r="F234" s="5" t="s">
        <v>220</v>
      </c>
      <c r="G234" s="41" t="s">
        <v>15</v>
      </c>
      <c r="H234" s="46" t="s">
        <v>26</v>
      </c>
      <c r="I234" s="87" t="s">
        <v>56</v>
      </c>
      <c r="K234" s="44"/>
      <c r="M234" s="44"/>
    </row>
    <row r="235" spans="1:13" s="5" customFormat="1" x14ac:dyDescent="0.25">
      <c r="A235" s="39">
        <f t="shared" si="4"/>
        <v>234</v>
      </c>
      <c r="B235" s="45" t="s">
        <v>762</v>
      </c>
      <c r="C235" s="87" t="s">
        <v>12</v>
      </c>
      <c r="D235" s="5" t="s">
        <v>13</v>
      </c>
      <c r="E235" s="5" t="s">
        <v>14</v>
      </c>
      <c r="F235" s="5" t="s">
        <v>220</v>
      </c>
      <c r="G235" s="41" t="s">
        <v>15</v>
      </c>
      <c r="H235" s="41" t="s">
        <v>16</v>
      </c>
      <c r="I235" s="87"/>
      <c r="J235" s="5" t="s">
        <v>17</v>
      </c>
      <c r="K235" s="172" t="s">
        <v>231</v>
      </c>
      <c r="L235" s="42"/>
      <c r="M235" s="44" t="s">
        <v>232</v>
      </c>
    </row>
    <row r="236" spans="1:13" s="5" customFormat="1" x14ac:dyDescent="0.25">
      <c r="A236" s="192">
        <f t="shared" si="4"/>
        <v>235</v>
      </c>
      <c r="B236" s="195" t="s">
        <v>762</v>
      </c>
      <c r="C236" s="194" t="s">
        <v>12</v>
      </c>
      <c r="D236" s="193" t="s">
        <v>13</v>
      </c>
      <c r="E236" s="193" t="s">
        <v>14</v>
      </c>
      <c r="F236" s="193" t="s">
        <v>220</v>
      </c>
      <c r="G236" s="197" t="s">
        <v>15</v>
      </c>
      <c r="H236" s="197" t="s">
        <v>67</v>
      </c>
      <c r="I236" s="87"/>
      <c r="K236" s="44"/>
      <c r="M236" s="44"/>
    </row>
    <row r="237" spans="1:13" s="5" customFormat="1" x14ac:dyDescent="0.25">
      <c r="A237" s="39">
        <f t="shared" si="4"/>
        <v>236</v>
      </c>
      <c r="B237" s="39" t="s">
        <v>762</v>
      </c>
      <c r="C237" s="87" t="s">
        <v>12</v>
      </c>
      <c r="D237" s="5" t="s">
        <v>177</v>
      </c>
      <c r="E237" s="5" t="s">
        <v>14</v>
      </c>
      <c r="F237" s="5" t="s">
        <v>741</v>
      </c>
      <c r="G237" s="41" t="s">
        <v>98</v>
      </c>
      <c r="H237" s="41" t="s">
        <v>233</v>
      </c>
      <c r="I237" s="87" t="s">
        <v>85</v>
      </c>
      <c r="J237" s="5" t="s">
        <v>17</v>
      </c>
      <c r="K237" s="172" t="s">
        <v>234</v>
      </c>
      <c r="L237" s="5" t="s">
        <v>785</v>
      </c>
      <c r="M237" s="172" t="s">
        <v>235</v>
      </c>
    </row>
    <row r="238" spans="1:13" s="5" customFormat="1" x14ac:dyDescent="0.25">
      <c r="A238" s="39">
        <f t="shared" si="4"/>
        <v>237</v>
      </c>
      <c r="B238" s="39" t="s">
        <v>762</v>
      </c>
      <c r="C238" s="87" t="s">
        <v>12</v>
      </c>
      <c r="D238" s="5" t="s">
        <v>177</v>
      </c>
      <c r="E238" s="5" t="s">
        <v>14</v>
      </c>
      <c r="F238" s="5" t="s">
        <v>741</v>
      </c>
      <c r="G238" s="41" t="s">
        <v>98</v>
      </c>
      <c r="H238" s="41" t="s">
        <v>16</v>
      </c>
      <c r="I238" s="87"/>
      <c r="J238" s="5" t="s">
        <v>236</v>
      </c>
      <c r="K238" s="172" t="s">
        <v>237</v>
      </c>
      <c r="L238" s="42"/>
      <c r="M238" s="172" t="s">
        <v>238</v>
      </c>
    </row>
    <row r="239" spans="1:13" s="5" customFormat="1" ht="60" x14ac:dyDescent="0.25">
      <c r="A239" s="39">
        <f t="shared" si="4"/>
        <v>238</v>
      </c>
      <c r="B239" s="39" t="s">
        <v>762</v>
      </c>
      <c r="C239" s="87" t="s">
        <v>12</v>
      </c>
      <c r="D239" s="5" t="s">
        <v>177</v>
      </c>
      <c r="E239" s="5" t="s">
        <v>14</v>
      </c>
      <c r="F239" s="5" t="s">
        <v>741</v>
      </c>
      <c r="G239" s="41" t="s">
        <v>98</v>
      </c>
      <c r="H239" s="41" t="s">
        <v>233</v>
      </c>
      <c r="I239" s="87" t="s">
        <v>22</v>
      </c>
      <c r="J239" s="44" t="s">
        <v>17</v>
      </c>
      <c r="K239" s="172" t="s">
        <v>18</v>
      </c>
      <c r="L239" s="42" t="s">
        <v>125</v>
      </c>
      <c r="M239" s="172" t="s">
        <v>239</v>
      </c>
    </row>
    <row r="240" spans="1:13" s="5" customFormat="1" x14ac:dyDescent="0.25">
      <c r="A240" s="39">
        <f t="shared" si="4"/>
        <v>239</v>
      </c>
      <c r="B240" s="39" t="s">
        <v>762</v>
      </c>
      <c r="C240" s="87" t="s">
        <v>12</v>
      </c>
      <c r="D240" s="5" t="s">
        <v>177</v>
      </c>
      <c r="E240" s="5" t="s">
        <v>14</v>
      </c>
      <c r="F240" s="5" t="s">
        <v>741</v>
      </c>
      <c r="G240" s="41" t="s">
        <v>98</v>
      </c>
      <c r="H240" s="41" t="s">
        <v>16</v>
      </c>
      <c r="I240" s="87"/>
      <c r="J240" s="5" t="s">
        <v>17</v>
      </c>
      <c r="K240" s="44" t="s">
        <v>782</v>
      </c>
      <c r="L240" s="5" t="s">
        <v>80</v>
      </c>
      <c r="M240" s="44" t="s">
        <v>773</v>
      </c>
    </row>
    <row r="241" spans="1:13" s="5" customFormat="1" x14ac:dyDescent="0.25">
      <c r="A241" s="39">
        <f t="shared" si="4"/>
        <v>240</v>
      </c>
      <c r="B241" s="39" t="s">
        <v>762</v>
      </c>
      <c r="C241" s="87" t="s">
        <v>12</v>
      </c>
      <c r="D241" s="5" t="s">
        <v>177</v>
      </c>
      <c r="E241" s="5" t="s">
        <v>14</v>
      </c>
      <c r="F241" s="5" t="s">
        <v>742</v>
      </c>
      <c r="G241" s="41" t="s">
        <v>98</v>
      </c>
      <c r="H241" s="41" t="s">
        <v>16</v>
      </c>
      <c r="I241" s="87"/>
      <c r="J241" s="44" t="s">
        <v>17</v>
      </c>
      <c r="K241" s="172" t="s">
        <v>18</v>
      </c>
      <c r="L241" s="42" t="s">
        <v>125</v>
      </c>
      <c r="M241" s="44" t="s">
        <v>241</v>
      </c>
    </row>
    <row r="242" spans="1:13" s="5" customFormat="1" x14ac:dyDescent="0.25">
      <c r="A242" s="39">
        <f t="shared" si="4"/>
        <v>241</v>
      </c>
      <c r="B242" s="39" t="s">
        <v>762</v>
      </c>
      <c r="C242" s="87" t="s">
        <v>12</v>
      </c>
      <c r="D242" s="5" t="s">
        <v>177</v>
      </c>
      <c r="E242" s="5" t="s">
        <v>14</v>
      </c>
      <c r="F242" s="5" t="s">
        <v>742</v>
      </c>
      <c r="G242" s="41" t="s">
        <v>98</v>
      </c>
      <c r="H242" s="41" t="s">
        <v>16</v>
      </c>
      <c r="I242" s="87"/>
      <c r="J242" s="44" t="s">
        <v>17</v>
      </c>
      <c r="K242" s="172" t="s">
        <v>18</v>
      </c>
      <c r="L242" s="42" t="s">
        <v>125</v>
      </c>
      <c r="M242" s="44" t="s">
        <v>241</v>
      </c>
    </row>
    <row r="243" spans="1:13" s="5" customFormat="1" x14ac:dyDescent="0.25">
      <c r="A243" s="39">
        <f t="shared" si="4"/>
        <v>242</v>
      </c>
      <c r="B243" s="39" t="s">
        <v>762</v>
      </c>
      <c r="C243" s="87" t="s">
        <v>12</v>
      </c>
      <c r="D243" s="5" t="s">
        <v>177</v>
      </c>
      <c r="E243" s="5" t="s">
        <v>14</v>
      </c>
      <c r="F243" s="5" t="s">
        <v>743</v>
      </c>
      <c r="G243" s="41" t="s">
        <v>15</v>
      </c>
      <c r="H243" s="41" t="s">
        <v>16</v>
      </c>
      <c r="I243" s="87"/>
      <c r="J243" s="44" t="s">
        <v>17</v>
      </c>
      <c r="K243" s="172" t="s">
        <v>18</v>
      </c>
      <c r="L243" s="42" t="s">
        <v>125</v>
      </c>
      <c r="M243" s="44" t="s">
        <v>241</v>
      </c>
    </row>
    <row r="244" spans="1:13" s="5" customFormat="1" x14ac:dyDescent="0.25">
      <c r="A244" s="39">
        <f t="shared" si="4"/>
        <v>243</v>
      </c>
      <c r="B244" s="39" t="s">
        <v>762</v>
      </c>
      <c r="C244" s="87" t="s">
        <v>12</v>
      </c>
      <c r="D244" s="5" t="s">
        <v>177</v>
      </c>
      <c r="E244" s="5" t="s">
        <v>14</v>
      </c>
      <c r="F244" s="5" t="s">
        <v>743</v>
      </c>
      <c r="G244" s="41" t="s">
        <v>98</v>
      </c>
      <c r="H244" s="41" t="s">
        <v>16</v>
      </c>
      <c r="I244" s="87"/>
      <c r="J244" s="5" t="s">
        <v>215</v>
      </c>
      <c r="K244" s="44" t="s">
        <v>242</v>
      </c>
      <c r="L244" s="42"/>
      <c r="M244" s="44" t="s">
        <v>78</v>
      </c>
    </row>
    <row r="245" spans="1:13" s="5" customFormat="1" x14ac:dyDescent="0.25">
      <c r="A245" s="39">
        <f t="shared" si="4"/>
        <v>244</v>
      </c>
      <c r="B245" s="39" t="s">
        <v>762</v>
      </c>
      <c r="C245" s="87" t="s">
        <v>12</v>
      </c>
      <c r="D245" s="5" t="s">
        <v>177</v>
      </c>
      <c r="E245" s="5" t="s">
        <v>14</v>
      </c>
      <c r="F245" s="5" t="s">
        <v>743</v>
      </c>
      <c r="G245" s="41" t="s">
        <v>15</v>
      </c>
      <c r="H245" s="41" t="s">
        <v>16</v>
      </c>
      <c r="I245" s="87"/>
      <c r="J245" s="5" t="s">
        <v>17</v>
      </c>
      <c r="K245" s="44" t="s">
        <v>72</v>
      </c>
      <c r="L245" s="5" t="s">
        <v>125</v>
      </c>
      <c r="M245" s="44" t="s">
        <v>244</v>
      </c>
    </row>
    <row r="246" spans="1:13" s="5" customFormat="1" x14ac:dyDescent="0.25">
      <c r="A246" s="39">
        <f t="shared" si="4"/>
        <v>245</v>
      </c>
      <c r="B246" s="39" t="s">
        <v>762</v>
      </c>
      <c r="C246" s="87" t="s">
        <v>12</v>
      </c>
      <c r="D246" s="5" t="s">
        <v>177</v>
      </c>
      <c r="E246" s="5" t="s">
        <v>14</v>
      </c>
      <c r="F246" s="5" t="s">
        <v>743</v>
      </c>
      <c r="G246" s="41" t="s">
        <v>98</v>
      </c>
      <c r="H246" s="41" t="s">
        <v>16</v>
      </c>
      <c r="I246" s="87"/>
      <c r="J246" s="5" t="s">
        <v>17</v>
      </c>
      <c r="K246" s="44" t="s">
        <v>152</v>
      </c>
      <c r="M246" s="44" t="s">
        <v>78</v>
      </c>
    </row>
    <row r="247" spans="1:13" s="5" customFormat="1" x14ac:dyDescent="0.25">
      <c r="A247" s="39">
        <f t="shared" si="4"/>
        <v>246</v>
      </c>
      <c r="B247" s="39" t="s">
        <v>762</v>
      </c>
      <c r="C247" s="87" t="s">
        <v>12</v>
      </c>
      <c r="D247" s="5" t="s">
        <v>177</v>
      </c>
      <c r="E247" s="5" t="s">
        <v>14</v>
      </c>
      <c r="F247" s="5" t="s">
        <v>743</v>
      </c>
      <c r="G247" s="41" t="s">
        <v>98</v>
      </c>
      <c r="H247" s="46" t="s">
        <v>233</v>
      </c>
      <c r="I247" s="87" t="s">
        <v>85</v>
      </c>
      <c r="J247" s="5" t="s">
        <v>245</v>
      </c>
      <c r="K247" s="44" t="s">
        <v>246</v>
      </c>
      <c r="L247" s="42"/>
      <c r="M247" s="44" t="s">
        <v>247</v>
      </c>
    </row>
    <row r="248" spans="1:13" s="5" customFormat="1" x14ac:dyDescent="0.25">
      <c r="A248" s="39">
        <f t="shared" si="4"/>
        <v>247</v>
      </c>
      <c r="B248" s="39" t="s">
        <v>762</v>
      </c>
      <c r="C248" s="87" t="s">
        <v>12</v>
      </c>
      <c r="D248" s="5" t="s">
        <v>177</v>
      </c>
      <c r="E248" s="5" t="s">
        <v>14</v>
      </c>
      <c r="F248" s="5" t="s">
        <v>743</v>
      </c>
      <c r="G248" s="41" t="s">
        <v>863</v>
      </c>
      <c r="H248" s="41" t="s">
        <v>16</v>
      </c>
      <c r="I248" s="87"/>
      <c r="J248" s="44" t="s">
        <v>17</v>
      </c>
      <c r="K248" s="172" t="s">
        <v>18</v>
      </c>
      <c r="L248" s="42" t="s">
        <v>125</v>
      </c>
      <c r="M248" s="44" t="s">
        <v>241</v>
      </c>
    </row>
    <row r="249" spans="1:13" s="5" customFormat="1" x14ac:dyDescent="0.25">
      <c r="A249" s="39">
        <f t="shared" si="4"/>
        <v>248</v>
      </c>
      <c r="B249" s="39" t="s">
        <v>762</v>
      </c>
      <c r="C249" s="87" t="s">
        <v>12</v>
      </c>
      <c r="D249" s="5" t="s">
        <v>177</v>
      </c>
      <c r="E249" s="5" t="s">
        <v>14</v>
      </c>
      <c r="F249" s="5" t="s">
        <v>744</v>
      </c>
      <c r="G249" s="41" t="s">
        <v>98</v>
      </c>
      <c r="H249" s="41" t="s">
        <v>16</v>
      </c>
      <c r="I249" s="87"/>
      <c r="J249" s="44" t="s">
        <v>131</v>
      </c>
      <c r="K249" s="172" t="s">
        <v>18</v>
      </c>
      <c r="L249" s="42" t="s">
        <v>125</v>
      </c>
      <c r="M249" s="44" t="s">
        <v>103</v>
      </c>
    </row>
    <row r="250" spans="1:13" s="5" customFormat="1" x14ac:dyDescent="0.25">
      <c r="A250" s="39">
        <f t="shared" si="4"/>
        <v>249</v>
      </c>
      <c r="B250" s="39" t="s">
        <v>762</v>
      </c>
      <c r="C250" s="87" t="s">
        <v>12</v>
      </c>
      <c r="D250" s="5" t="s">
        <v>177</v>
      </c>
      <c r="E250" s="5" t="s">
        <v>14</v>
      </c>
      <c r="F250" s="5" t="s">
        <v>744</v>
      </c>
      <c r="G250" s="41" t="s">
        <v>98</v>
      </c>
      <c r="H250" s="41" t="s">
        <v>16</v>
      </c>
      <c r="I250" s="87"/>
      <c r="J250" s="44" t="s">
        <v>131</v>
      </c>
      <c r="K250" s="172" t="s">
        <v>18</v>
      </c>
      <c r="L250" s="42" t="s">
        <v>125</v>
      </c>
      <c r="M250" s="44" t="s">
        <v>217</v>
      </c>
    </row>
    <row r="251" spans="1:13" s="5" customFormat="1" x14ac:dyDescent="0.25">
      <c r="A251" s="39">
        <f t="shared" si="4"/>
        <v>250</v>
      </c>
      <c r="B251" s="39" t="s">
        <v>762</v>
      </c>
      <c r="C251" s="87" t="s">
        <v>12</v>
      </c>
      <c r="D251" s="5" t="s">
        <v>177</v>
      </c>
      <c r="E251" s="5" t="s">
        <v>14</v>
      </c>
      <c r="F251" s="5" t="s">
        <v>744</v>
      </c>
      <c r="G251" s="41" t="s">
        <v>98</v>
      </c>
      <c r="H251" s="41" t="s">
        <v>16</v>
      </c>
      <c r="I251" s="87"/>
      <c r="J251" s="5" t="s">
        <v>17</v>
      </c>
      <c r="K251" s="44" t="s">
        <v>152</v>
      </c>
      <c r="M251" s="44" t="s">
        <v>248</v>
      </c>
    </row>
    <row r="252" spans="1:13" s="5" customFormat="1" x14ac:dyDescent="0.25">
      <c r="A252" s="39">
        <f t="shared" si="4"/>
        <v>251</v>
      </c>
      <c r="B252" s="39" t="s">
        <v>762</v>
      </c>
      <c r="C252" s="87" t="s">
        <v>12</v>
      </c>
      <c r="D252" s="5" t="s">
        <v>177</v>
      </c>
      <c r="E252" s="5" t="s">
        <v>14</v>
      </c>
      <c r="F252" s="5" t="s">
        <v>744</v>
      </c>
      <c r="G252" s="41" t="s">
        <v>98</v>
      </c>
      <c r="H252" s="41" t="s">
        <v>16</v>
      </c>
      <c r="I252" s="87"/>
      <c r="J252" s="5" t="s">
        <v>131</v>
      </c>
      <c r="K252" s="44" t="s">
        <v>249</v>
      </c>
      <c r="M252" s="44"/>
    </row>
    <row r="253" spans="1:13" s="5" customFormat="1" x14ac:dyDescent="0.25">
      <c r="A253" s="39">
        <f t="shared" si="4"/>
        <v>252</v>
      </c>
      <c r="B253" s="39" t="s">
        <v>762</v>
      </c>
      <c r="C253" s="87" t="s">
        <v>12</v>
      </c>
      <c r="D253" s="5" t="s">
        <v>177</v>
      </c>
      <c r="E253" s="5" t="s">
        <v>14</v>
      </c>
      <c r="F253" s="5" t="s">
        <v>744</v>
      </c>
      <c r="G253" s="41" t="s">
        <v>98</v>
      </c>
      <c r="H253" s="41" t="s">
        <v>16</v>
      </c>
      <c r="I253" s="87"/>
      <c r="J253" s="5" t="s">
        <v>131</v>
      </c>
      <c r="K253" s="44" t="s">
        <v>152</v>
      </c>
      <c r="M253" s="172" t="s">
        <v>250</v>
      </c>
    </row>
    <row r="254" spans="1:13" s="5" customFormat="1" x14ac:dyDescent="0.25">
      <c r="A254" s="39">
        <f t="shared" si="4"/>
        <v>253</v>
      </c>
      <c r="B254" s="39" t="s">
        <v>762</v>
      </c>
      <c r="C254" s="87" t="s">
        <v>12</v>
      </c>
      <c r="D254" s="5" t="s">
        <v>177</v>
      </c>
      <c r="E254" s="5" t="s">
        <v>14</v>
      </c>
      <c r="F254" s="5" t="s">
        <v>744</v>
      </c>
      <c r="G254" s="41" t="s">
        <v>98</v>
      </c>
      <c r="H254" s="46" t="s">
        <v>16</v>
      </c>
      <c r="I254" s="87"/>
      <c r="J254" s="5" t="s">
        <v>71</v>
      </c>
      <c r="K254" s="44" t="s">
        <v>841</v>
      </c>
      <c r="M254" s="44" t="s">
        <v>136</v>
      </c>
    </row>
    <row r="255" spans="1:13" s="5" customFormat="1" x14ac:dyDescent="0.25">
      <c r="A255" s="39">
        <f t="shared" si="4"/>
        <v>254</v>
      </c>
      <c r="B255" s="39" t="s">
        <v>762</v>
      </c>
      <c r="C255" s="87" t="s">
        <v>12</v>
      </c>
      <c r="D255" s="5" t="s">
        <v>177</v>
      </c>
      <c r="E255" s="5" t="s">
        <v>14</v>
      </c>
      <c r="F255" s="5" t="s">
        <v>744</v>
      </c>
      <c r="G255" s="41" t="s">
        <v>98</v>
      </c>
      <c r="H255" s="46" t="s">
        <v>16</v>
      </c>
      <c r="I255" s="87"/>
      <c r="J255" s="5" t="s">
        <v>31</v>
      </c>
      <c r="K255" s="44" t="s">
        <v>251</v>
      </c>
      <c r="M255" s="44" t="s">
        <v>191</v>
      </c>
    </row>
    <row r="256" spans="1:13" s="5" customFormat="1" x14ac:dyDescent="0.25">
      <c r="A256" s="39">
        <f t="shared" si="4"/>
        <v>255</v>
      </c>
      <c r="B256" s="39" t="s">
        <v>762</v>
      </c>
      <c r="C256" s="87" t="s">
        <v>12</v>
      </c>
      <c r="D256" s="5" t="s">
        <v>177</v>
      </c>
      <c r="E256" s="5" t="s">
        <v>14</v>
      </c>
      <c r="F256" s="5" t="s">
        <v>745</v>
      </c>
      <c r="G256" s="41" t="s">
        <v>98</v>
      </c>
      <c r="H256" s="41" t="s">
        <v>16</v>
      </c>
      <c r="I256" s="87"/>
      <c r="J256" s="5" t="s">
        <v>131</v>
      </c>
      <c r="K256" s="44" t="s">
        <v>138</v>
      </c>
      <c r="L256" s="42" t="s">
        <v>114</v>
      </c>
      <c r="M256" s="44" t="s">
        <v>252</v>
      </c>
    </row>
    <row r="257" spans="1:14" s="5" customFormat="1" x14ac:dyDescent="0.25">
      <c r="A257" s="39">
        <f t="shared" si="4"/>
        <v>256</v>
      </c>
      <c r="B257" s="39" t="s">
        <v>762</v>
      </c>
      <c r="C257" s="87" t="s">
        <v>12</v>
      </c>
      <c r="D257" s="5" t="s">
        <v>177</v>
      </c>
      <c r="E257" s="5" t="s">
        <v>14</v>
      </c>
      <c r="F257" s="5" t="s">
        <v>745</v>
      </c>
      <c r="G257" s="41" t="s">
        <v>98</v>
      </c>
      <c r="H257" s="41" t="s">
        <v>16</v>
      </c>
      <c r="I257" s="87"/>
      <c r="J257" s="5" t="s">
        <v>131</v>
      </c>
      <c r="K257" s="172" t="s">
        <v>253</v>
      </c>
      <c r="L257" s="42"/>
      <c r="M257" s="44" t="s">
        <v>254</v>
      </c>
    </row>
    <row r="258" spans="1:14" s="5" customFormat="1" ht="27.75" customHeight="1" x14ac:dyDescent="0.25">
      <c r="A258" s="39">
        <f t="shared" si="4"/>
        <v>257</v>
      </c>
      <c r="B258" s="39" t="s">
        <v>762</v>
      </c>
      <c r="C258" s="87" t="s">
        <v>12</v>
      </c>
      <c r="D258" s="5" t="s">
        <v>177</v>
      </c>
      <c r="E258" s="5" t="s">
        <v>14</v>
      </c>
      <c r="F258" s="5" t="s">
        <v>745</v>
      </c>
      <c r="G258" s="41" t="s">
        <v>98</v>
      </c>
      <c r="H258" s="46" t="s">
        <v>233</v>
      </c>
      <c r="I258" s="87" t="s">
        <v>85</v>
      </c>
      <c r="J258" s="5" t="s">
        <v>17</v>
      </c>
      <c r="K258" s="44" t="s">
        <v>782</v>
      </c>
      <c r="L258" s="5" t="s">
        <v>80</v>
      </c>
      <c r="M258" s="44" t="s">
        <v>255</v>
      </c>
    </row>
    <row r="259" spans="1:14" s="5" customFormat="1" x14ac:dyDescent="0.25">
      <c r="A259" s="39">
        <f t="shared" si="4"/>
        <v>258</v>
      </c>
      <c r="B259" s="39" t="s">
        <v>762</v>
      </c>
      <c r="C259" s="87" t="s">
        <v>12</v>
      </c>
      <c r="D259" s="5" t="s">
        <v>177</v>
      </c>
      <c r="E259" s="5" t="s">
        <v>14</v>
      </c>
      <c r="F259" s="5" t="s">
        <v>745</v>
      </c>
      <c r="G259" s="41" t="s">
        <v>98</v>
      </c>
      <c r="H259" s="41" t="s">
        <v>16</v>
      </c>
      <c r="I259" s="87"/>
      <c r="J259" s="5" t="s">
        <v>75</v>
      </c>
      <c r="K259" s="44" t="s">
        <v>256</v>
      </c>
      <c r="M259" s="44" t="s">
        <v>257</v>
      </c>
    </row>
    <row r="260" spans="1:14" s="5" customFormat="1" x14ac:dyDescent="0.25">
      <c r="A260" s="39">
        <f t="shared" si="4"/>
        <v>259</v>
      </c>
      <c r="B260" s="39" t="s">
        <v>762</v>
      </c>
      <c r="C260" s="87" t="s">
        <v>12</v>
      </c>
      <c r="D260" s="5" t="s">
        <v>177</v>
      </c>
      <c r="E260" s="5" t="s">
        <v>14</v>
      </c>
      <c r="F260" s="5" t="s">
        <v>745</v>
      </c>
      <c r="G260" s="41" t="s">
        <v>98</v>
      </c>
      <c r="H260" s="41" t="s">
        <v>16</v>
      </c>
      <c r="I260" s="87"/>
      <c r="J260" s="5" t="s">
        <v>131</v>
      </c>
      <c r="K260" s="172" t="s">
        <v>59</v>
      </c>
      <c r="L260" s="42"/>
      <c r="M260" s="44" t="s">
        <v>191</v>
      </c>
    </row>
    <row r="261" spans="1:14" s="5" customFormat="1" x14ac:dyDescent="0.25">
      <c r="A261" s="39">
        <f t="shared" si="4"/>
        <v>260</v>
      </c>
      <c r="B261" s="39" t="s">
        <v>762</v>
      </c>
      <c r="C261" s="87" t="s">
        <v>12</v>
      </c>
      <c r="D261" s="5" t="s">
        <v>177</v>
      </c>
      <c r="E261" s="5" t="s">
        <v>14</v>
      </c>
      <c r="F261" s="5" t="s">
        <v>745</v>
      </c>
      <c r="G261" s="41" t="s">
        <v>98</v>
      </c>
      <c r="H261" s="41" t="s">
        <v>16</v>
      </c>
      <c r="I261" s="87"/>
      <c r="J261" s="5" t="s">
        <v>131</v>
      </c>
      <c r="K261" s="44" t="s">
        <v>186</v>
      </c>
      <c r="L261" s="93" t="s">
        <v>114</v>
      </c>
      <c r="M261" s="44" t="s">
        <v>191</v>
      </c>
    </row>
    <row r="262" spans="1:14" s="5" customFormat="1" x14ac:dyDescent="0.25">
      <c r="A262" s="8">
        <f t="shared" si="4"/>
        <v>261</v>
      </c>
      <c r="B262" s="32" t="s">
        <v>762</v>
      </c>
      <c r="C262" s="85" t="s">
        <v>12</v>
      </c>
      <c r="D262" s="9" t="s">
        <v>13</v>
      </c>
      <c r="E262" s="9" t="s">
        <v>14</v>
      </c>
      <c r="F262" s="9" t="s">
        <v>165</v>
      </c>
      <c r="G262" s="11" t="s">
        <v>15</v>
      </c>
      <c r="H262" s="11" t="s">
        <v>63</v>
      </c>
      <c r="I262" s="87"/>
      <c r="K262" s="44"/>
      <c r="M262" s="44"/>
    </row>
    <row r="263" spans="1:14" s="5" customFormat="1" x14ac:dyDescent="0.25">
      <c r="A263" s="192">
        <f t="shared" si="4"/>
        <v>262</v>
      </c>
      <c r="B263" s="195" t="s">
        <v>762</v>
      </c>
      <c r="C263" s="194" t="s">
        <v>12</v>
      </c>
      <c r="D263" s="193" t="s">
        <v>177</v>
      </c>
      <c r="E263" s="193" t="s">
        <v>14</v>
      </c>
      <c r="F263" s="193" t="s">
        <v>745</v>
      </c>
      <c r="G263" s="197" t="s">
        <v>98</v>
      </c>
      <c r="H263" s="197" t="s">
        <v>67</v>
      </c>
      <c r="I263" s="87"/>
      <c r="K263" s="44"/>
      <c r="M263" s="44"/>
    </row>
    <row r="264" spans="1:14" s="5" customFormat="1" x14ac:dyDescent="0.25">
      <c r="A264" s="39">
        <f t="shared" si="4"/>
        <v>263</v>
      </c>
      <c r="B264" s="39" t="s">
        <v>762</v>
      </c>
      <c r="C264" s="87" t="s">
        <v>12</v>
      </c>
      <c r="D264" s="5" t="s">
        <v>177</v>
      </c>
      <c r="E264" s="5" t="s">
        <v>14</v>
      </c>
      <c r="F264" s="5" t="s">
        <v>745</v>
      </c>
      <c r="G264" s="41" t="s">
        <v>15</v>
      </c>
      <c r="H264" s="41" t="s">
        <v>16</v>
      </c>
      <c r="I264" s="87"/>
      <c r="J264" s="5" t="s">
        <v>75</v>
      </c>
      <c r="K264" s="44" t="s">
        <v>258</v>
      </c>
      <c r="M264" s="172" t="s">
        <v>259</v>
      </c>
      <c r="N264" s="42"/>
    </row>
    <row r="265" spans="1:14" s="5" customFormat="1" x14ac:dyDescent="0.25">
      <c r="A265" s="39">
        <f t="shared" si="4"/>
        <v>264</v>
      </c>
      <c r="B265" s="39" t="s">
        <v>762</v>
      </c>
      <c r="C265" s="87" t="s">
        <v>12</v>
      </c>
      <c r="D265" s="5" t="s">
        <v>177</v>
      </c>
      <c r="E265" s="5" t="s">
        <v>14</v>
      </c>
      <c r="F265" s="5" t="s">
        <v>745</v>
      </c>
      <c r="G265" s="41" t="s">
        <v>98</v>
      </c>
      <c r="H265" s="41" t="s">
        <v>233</v>
      </c>
      <c r="I265" s="87" t="s">
        <v>85</v>
      </c>
      <c r="J265" s="5" t="s">
        <v>17</v>
      </c>
      <c r="K265" s="44"/>
      <c r="M265" s="44"/>
    </row>
    <row r="266" spans="1:14" s="5" customFormat="1" x14ac:dyDescent="0.25">
      <c r="A266" s="39">
        <f t="shared" si="4"/>
        <v>265</v>
      </c>
      <c r="B266" s="39" t="s">
        <v>762</v>
      </c>
      <c r="C266" s="87" t="s">
        <v>12</v>
      </c>
      <c r="D266" s="5" t="s">
        <v>177</v>
      </c>
      <c r="E266" s="5" t="s">
        <v>14</v>
      </c>
      <c r="F266" s="5" t="s">
        <v>745</v>
      </c>
      <c r="G266" s="41" t="s">
        <v>98</v>
      </c>
      <c r="H266" s="41" t="s">
        <v>16</v>
      </c>
      <c r="I266" s="87"/>
      <c r="J266" s="5" t="s">
        <v>131</v>
      </c>
      <c r="K266" s="172" t="s">
        <v>58</v>
      </c>
      <c r="L266" s="5" t="s">
        <v>47</v>
      </c>
      <c r="M266" s="44" t="s">
        <v>248</v>
      </c>
    </row>
    <row r="267" spans="1:14" s="5" customFormat="1" x14ac:dyDescent="0.25">
      <c r="A267" s="192">
        <f t="shared" si="4"/>
        <v>266</v>
      </c>
      <c r="B267" s="195" t="s">
        <v>762</v>
      </c>
      <c r="C267" s="194" t="s">
        <v>12</v>
      </c>
      <c r="D267" s="193" t="s">
        <v>177</v>
      </c>
      <c r="E267" s="193" t="s">
        <v>14</v>
      </c>
      <c r="F267" s="193" t="s">
        <v>745</v>
      </c>
      <c r="G267" s="197" t="s">
        <v>98</v>
      </c>
      <c r="H267" s="197" t="s">
        <v>67</v>
      </c>
      <c r="I267" s="87"/>
      <c r="K267" s="44"/>
      <c r="M267" s="44"/>
    </row>
    <row r="268" spans="1:14" s="5" customFormat="1" x14ac:dyDescent="0.25">
      <c r="A268" s="39">
        <f t="shared" si="4"/>
        <v>267</v>
      </c>
      <c r="B268" s="39" t="s">
        <v>762</v>
      </c>
      <c r="C268" s="87" t="s">
        <v>12</v>
      </c>
      <c r="D268" s="5" t="s">
        <v>177</v>
      </c>
      <c r="E268" s="5" t="s">
        <v>14</v>
      </c>
      <c r="F268" s="5" t="s">
        <v>745</v>
      </c>
      <c r="G268" s="41" t="s">
        <v>98</v>
      </c>
      <c r="H268" s="41" t="s">
        <v>233</v>
      </c>
      <c r="I268" s="87" t="s">
        <v>260</v>
      </c>
      <c r="J268" s="5" t="s">
        <v>131</v>
      </c>
      <c r="K268" s="44" t="s">
        <v>786</v>
      </c>
      <c r="L268" s="5" t="s">
        <v>80</v>
      </c>
      <c r="M268" s="44" t="s">
        <v>261</v>
      </c>
    </row>
    <row r="269" spans="1:14" s="5" customFormat="1" x14ac:dyDescent="0.25">
      <c r="A269" s="39">
        <f t="shared" si="4"/>
        <v>268</v>
      </c>
      <c r="B269" s="39" t="s">
        <v>762</v>
      </c>
      <c r="C269" s="87" t="s">
        <v>12</v>
      </c>
      <c r="D269" s="5" t="s">
        <v>177</v>
      </c>
      <c r="E269" s="5" t="s">
        <v>14</v>
      </c>
      <c r="F269" s="5" t="s">
        <v>745</v>
      </c>
      <c r="G269" s="41" t="s">
        <v>98</v>
      </c>
      <c r="H269" s="41" t="s">
        <v>16</v>
      </c>
      <c r="I269" s="87"/>
      <c r="J269" s="5" t="s">
        <v>131</v>
      </c>
      <c r="K269" s="44" t="s">
        <v>782</v>
      </c>
      <c r="L269" s="5" t="s">
        <v>80</v>
      </c>
      <c r="M269" s="44" t="s">
        <v>78</v>
      </c>
    </row>
    <row r="270" spans="1:14" s="5" customFormat="1" ht="15.75" x14ac:dyDescent="0.25">
      <c r="A270" s="39">
        <f t="shared" si="4"/>
        <v>269</v>
      </c>
      <c r="B270" s="39" t="s">
        <v>762</v>
      </c>
      <c r="C270" s="87" t="s">
        <v>12</v>
      </c>
      <c r="D270" s="5" t="s">
        <v>177</v>
      </c>
      <c r="E270" s="5" t="s">
        <v>14</v>
      </c>
      <c r="F270" s="5" t="s">
        <v>746</v>
      </c>
      <c r="G270" s="41" t="s">
        <v>98</v>
      </c>
      <c r="H270" s="41" t="s">
        <v>233</v>
      </c>
      <c r="I270" s="87" t="s">
        <v>22</v>
      </c>
      <c r="J270" s="5" t="s">
        <v>75</v>
      </c>
      <c r="K270" s="186" t="s">
        <v>262</v>
      </c>
      <c r="M270" s="44" t="s">
        <v>263</v>
      </c>
    </row>
    <row r="271" spans="1:14" s="5" customFormat="1" x14ac:dyDescent="0.25">
      <c r="A271" s="39">
        <f t="shared" si="4"/>
        <v>270</v>
      </c>
      <c r="B271" s="39" t="s">
        <v>762</v>
      </c>
      <c r="C271" s="87" t="s">
        <v>12</v>
      </c>
      <c r="D271" s="5" t="s">
        <v>177</v>
      </c>
      <c r="E271" s="5" t="s">
        <v>14</v>
      </c>
      <c r="F271" s="5" t="s">
        <v>746</v>
      </c>
      <c r="G271" s="41" t="s">
        <v>98</v>
      </c>
      <c r="H271" s="41" t="s">
        <v>16</v>
      </c>
      <c r="I271" s="87"/>
      <c r="J271" s="5" t="s">
        <v>75</v>
      </c>
      <c r="K271" s="172" t="s">
        <v>264</v>
      </c>
      <c r="M271" s="172" t="s">
        <v>265</v>
      </c>
    </row>
    <row r="272" spans="1:14" s="5" customFormat="1" ht="30" x14ac:dyDescent="0.25">
      <c r="A272" s="39">
        <f t="shared" si="4"/>
        <v>271</v>
      </c>
      <c r="B272" s="39" t="s">
        <v>762</v>
      </c>
      <c r="C272" s="87" t="s">
        <v>12</v>
      </c>
      <c r="D272" s="5" t="s">
        <v>177</v>
      </c>
      <c r="E272" s="5" t="s">
        <v>14</v>
      </c>
      <c r="F272" s="5" t="s">
        <v>746</v>
      </c>
      <c r="G272" s="41" t="s">
        <v>98</v>
      </c>
      <c r="H272" s="41" t="s">
        <v>16</v>
      </c>
      <c r="I272" s="87"/>
      <c r="J272" s="5" t="s">
        <v>131</v>
      </c>
      <c r="K272" s="172" t="s">
        <v>202</v>
      </c>
      <c r="L272" s="5" t="s">
        <v>47</v>
      </c>
      <c r="M272" s="172" t="s">
        <v>266</v>
      </c>
    </row>
    <row r="273" spans="1:13" s="5" customFormat="1" x14ac:dyDescent="0.25">
      <c r="A273" s="39">
        <f t="shared" si="4"/>
        <v>272</v>
      </c>
      <c r="B273" s="39" t="s">
        <v>762</v>
      </c>
      <c r="C273" s="87" t="s">
        <v>12</v>
      </c>
      <c r="D273" s="5" t="s">
        <v>177</v>
      </c>
      <c r="E273" s="5" t="s">
        <v>14</v>
      </c>
      <c r="F273" s="5" t="s">
        <v>746</v>
      </c>
      <c r="G273" s="41" t="s">
        <v>15</v>
      </c>
      <c r="H273" s="41" t="s">
        <v>761</v>
      </c>
      <c r="I273" s="87"/>
      <c r="K273" s="44"/>
      <c r="M273" s="44" t="s">
        <v>267</v>
      </c>
    </row>
    <row r="274" spans="1:13" s="5" customFormat="1" x14ac:dyDescent="0.25">
      <c r="A274" s="39">
        <f t="shared" si="4"/>
        <v>273</v>
      </c>
      <c r="B274" s="39" t="s">
        <v>762</v>
      </c>
      <c r="C274" s="87" t="s">
        <v>12</v>
      </c>
      <c r="D274" s="5" t="s">
        <v>177</v>
      </c>
      <c r="E274" s="5" t="s">
        <v>14</v>
      </c>
      <c r="F274" s="5" t="s">
        <v>747</v>
      </c>
      <c r="G274" s="41" t="s">
        <v>98</v>
      </c>
      <c r="H274" s="41" t="s">
        <v>16</v>
      </c>
      <c r="I274" s="87"/>
      <c r="J274" s="44" t="s">
        <v>131</v>
      </c>
      <c r="K274" s="172" t="s">
        <v>18</v>
      </c>
      <c r="L274" s="42" t="s">
        <v>125</v>
      </c>
      <c r="M274" s="44" t="s">
        <v>268</v>
      </c>
    </row>
    <row r="275" spans="1:13" s="5" customFormat="1" x14ac:dyDescent="0.25">
      <c r="A275" s="39">
        <f t="shared" si="4"/>
        <v>274</v>
      </c>
      <c r="B275" s="39" t="s">
        <v>762</v>
      </c>
      <c r="C275" s="87" t="s">
        <v>12</v>
      </c>
      <c r="D275" s="5" t="s">
        <v>177</v>
      </c>
      <c r="E275" s="5" t="s">
        <v>14</v>
      </c>
      <c r="F275" s="5" t="s">
        <v>746</v>
      </c>
      <c r="G275" s="41" t="s">
        <v>98</v>
      </c>
      <c r="H275" s="41" t="s">
        <v>16</v>
      </c>
      <c r="I275" s="87"/>
      <c r="J275" s="5" t="s">
        <v>131</v>
      </c>
      <c r="K275" s="44" t="s">
        <v>134</v>
      </c>
      <c r="L275" s="5" t="s">
        <v>125</v>
      </c>
      <c r="M275" s="44" t="s">
        <v>269</v>
      </c>
    </row>
    <row r="276" spans="1:13" s="5" customFormat="1" x14ac:dyDescent="0.25">
      <c r="A276" s="192">
        <f t="shared" si="4"/>
        <v>275</v>
      </c>
      <c r="B276" s="195" t="s">
        <v>762</v>
      </c>
      <c r="C276" s="194" t="s">
        <v>12</v>
      </c>
      <c r="D276" s="193" t="s">
        <v>177</v>
      </c>
      <c r="E276" s="193" t="s">
        <v>14</v>
      </c>
      <c r="F276" s="193" t="s">
        <v>747</v>
      </c>
      <c r="G276" s="197" t="s">
        <v>98</v>
      </c>
      <c r="H276" s="197" t="s">
        <v>67</v>
      </c>
      <c r="I276" s="87"/>
      <c r="K276" s="44"/>
      <c r="M276" s="44"/>
    </row>
    <row r="277" spans="1:13" s="5" customFormat="1" x14ac:dyDescent="0.25">
      <c r="A277" s="39">
        <f t="shared" si="4"/>
        <v>276</v>
      </c>
      <c r="B277" s="39" t="s">
        <v>762</v>
      </c>
      <c r="C277" s="87" t="s">
        <v>12</v>
      </c>
      <c r="D277" s="5" t="s">
        <v>177</v>
      </c>
      <c r="E277" s="5" t="s">
        <v>14</v>
      </c>
      <c r="F277" s="5" t="s">
        <v>746</v>
      </c>
      <c r="G277" s="41" t="s">
        <v>98</v>
      </c>
      <c r="H277" s="41" t="s">
        <v>16</v>
      </c>
      <c r="I277" s="87"/>
      <c r="J277" s="5" t="s">
        <v>75</v>
      </c>
      <c r="K277" s="44" t="s">
        <v>270</v>
      </c>
      <c r="L277" s="93"/>
      <c r="M277" s="44" t="s">
        <v>271</v>
      </c>
    </row>
    <row r="278" spans="1:13" s="5" customFormat="1" x14ac:dyDescent="0.25">
      <c r="A278" s="39">
        <f t="shared" si="4"/>
        <v>277</v>
      </c>
      <c r="B278" s="39" t="s">
        <v>762</v>
      </c>
      <c r="C278" s="87" t="s">
        <v>12</v>
      </c>
      <c r="D278" s="5" t="s">
        <v>177</v>
      </c>
      <c r="E278" s="5" t="s">
        <v>14</v>
      </c>
      <c r="F278" s="5" t="s">
        <v>747</v>
      </c>
      <c r="G278" s="41" t="s">
        <v>98</v>
      </c>
      <c r="H278" s="41" t="s">
        <v>16</v>
      </c>
      <c r="I278" s="87"/>
      <c r="J278" s="5" t="s">
        <v>75</v>
      </c>
      <c r="K278" s="44" t="s">
        <v>272</v>
      </c>
      <c r="L278" s="5" t="s">
        <v>840</v>
      </c>
      <c r="M278" s="44" t="s">
        <v>217</v>
      </c>
    </row>
    <row r="279" spans="1:13" s="5" customFormat="1" x14ac:dyDescent="0.25">
      <c r="A279" s="39">
        <f t="shared" si="4"/>
        <v>278</v>
      </c>
      <c r="B279" s="39" t="s">
        <v>762</v>
      </c>
      <c r="C279" s="87" t="s">
        <v>12</v>
      </c>
      <c r="D279" s="5" t="s">
        <v>177</v>
      </c>
      <c r="E279" s="5" t="s">
        <v>14</v>
      </c>
      <c r="F279" s="5" t="s">
        <v>746</v>
      </c>
      <c r="G279" s="41" t="s">
        <v>98</v>
      </c>
      <c r="H279" s="41" t="s">
        <v>16</v>
      </c>
      <c r="I279" s="87"/>
      <c r="J279" s="5" t="s">
        <v>131</v>
      </c>
      <c r="K279" s="44" t="s">
        <v>109</v>
      </c>
      <c r="L279" s="42"/>
      <c r="M279" s="172" t="s">
        <v>132</v>
      </c>
    </row>
    <row r="280" spans="1:13" s="5" customFormat="1" ht="30" x14ac:dyDescent="0.25">
      <c r="A280" s="39">
        <f t="shared" si="4"/>
        <v>279</v>
      </c>
      <c r="B280" s="39" t="s">
        <v>762</v>
      </c>
      <c r="C280" s="87" t="s">
        <v>12</v>
      </c>
      <c r="D280" s="5" t="s">
        <v>177</v>
      </c>
      <c r="E280" s="5" t="s">
        <v>14</v>
      </c>
      <c r="F280" s="5" t="s">
        <v>746</v>
      </c>
      <c r="G280" s="41" t="s">
        <v>98</v>
      </c>
      <c r="H280" s="41" t="s">
        <v>16</v>
      </c>
      <c r="I280" s="87"/>
      <c r="J280" s="5" t="s">
        <v>273</v>
      </c>
      <c r="K280" s="44" t="s">
        <v>274</v>
      </c>
      <c r="M280" s="172" t="s">
        <v>275</v>
      </c>
    </row>
    <row r="281" spans="1:13" s="5" customFormat="1" x14ac:dyDescent="0.25">
      <c r="A281" s="39">
        <f t="shared" si="4"/>
        <v>280</v>
      </c>
      <c r="B281" s="39" t="s">
        <v>762</v>
      </c>
      <c r="C281" s="87" t="s">
        <v>12</v>
      </c>
      <c r="D281" s="5" t="s">
        <v>177</v>
      </c>
      <c r="E281" s="5" t="s">
        <v>14</v>
      </c>
      <c r="F281" s="5" t="s">
        <v>276</v>
      </c>
      <c r="G281" s="41" t="s">
        <v>98</v>
      </c>
      <c r="H281" s="41" t="s">
        <v>16</v>
      </c>
      <c r="I281" s="87"/>
      <c r="J281" s="5" t="s">
        <v>131</v>
      </c>
      <c r="K281" s="172" t="s">
        <v>278</v>
      </c>
      <c r="L281" s="5" t="s">
        <v>47</v>
      </c>
      <c r="M281" s="44" t="s">
        <v>241</v>
      </c>
    </row>
    <row r="282" spans="1:13" s="5" customFormat="1" x14ac:dyDescent="0.25">
      <c r="A282" s="39">
        <f t="shared" si="4"/>
        <v>281</v>
      </c>
      <c r="B282" s="39" t="s">
        <v>762</v>
      </c>
      <c r="C282" s="87" t="s">
        <v>12</v>
      </c>
      <c r="D282" s="5" t="s">
        <v>177</v>
      </c>
      <c r="E282" s="5" t="s">
        <v>14</v>
      </c>
      <c r="F282" s="5" t="s">
        <v>276</v>
      </c>
      <c r="G282" s="41" t="s">
        <v>98</v>
      </c>
      <c r="H282" s="41" t="s">
        <v>16</v>
      </c>
      <c r="I282" s="87"/>
      <c r="J282" s="5" t="s">
        <v>131</v>
      </c>
      <c r="K282" s="44" t="s">
        <v>787</v>
      </c>
      <c r="L282" s="5" t="s">
        <v>80</v>
      </c>
      <c r="M282" s="44" t="s">
        <v>241</v>
      </c>
    </row>
    <row r="283" spans="1:13" s="5" customFormat="1" x14ac:dyDescent="0.25">
      <c r="A283" s="39">
        <f t="shared" si="4"/>
        <v>282</v>
      </c>
      <c r="B283" s="39" t="s">
        <v>762</v>
      </c>
      <c r="C283" s="87" t="s">
        <v>12</v>
      </c>
      <c r="D283" s="5" t="s">
        <v>177</v>
      </c>
      <c r="E283" s="5" t="s">
        <v>14</v>
      </c>
      <c r="F283" s="5" t="s">
        <v>276</v>
      </c>
      <c r="G283" s="41" t="s">
        <v>98</v>
      </c>
      <c r="H283" s="41" t="s">
        <v>16</v>
      </c>
      <c r="I283" s="87"/>
      <c r="J283" s="5" t="s">
        <v>131</v>
      </c>
      <c r="K283" s="44" t="s">
        <v>279</v>
      </c>
      <c r="L283" s="42"/>
      <c r="M283" s="172" t="s">
        <v>280</v>
      </c>
    </row>
    <row r="284" spans="1:13" s="5" customFormat="1" x14ac:dyDescent="0.25">
      <c r="A284" s="39">
        <f t="shared" si="4"/>
        <v>283</v>
      </c>
      <c r="B284" s="39" t="s">
        <v>762</v>
      </c>
      <c r="C284" s="87" t="s">
        <v>12</v>
      </c>
      <c r="D284" s="5" t="s">
        <v>177</v>
      </c>
      <c r="E284" s="5" t="s">
        <v>14</v>
      </c>
      <c r="F284" s="5" t="s">
        <v>276</v>
      </c>
      <c r="G284" s="41" t="s">
        <v>98</v>
      </c>
      <c r="H284" s="41" t="s">
        <v>16</v>
      </c>
      <c r="I284" s="87"/>
      <c r="J284" s="5" t="s">
        <v>131</v>
      </c>
      <c r="K284" s="44" t="s">
        <v>281</v>
      </c>
      <c r="L284" s="42"/>
      <c r="M284" s="44" t="s">
        <v>282</v>
      </c>
    </row>
    <row r="285" spans="1:13" s="5" customFormat="1" x14ac:dyDescent="0.25">
      <c r="A285" s="8">
        <f t="shared" si="4"/>
        <v>284</v>
      </c>
      <c r="B285" s="32" t="s">
        <v>762</v>
      </c>
      <c r="C285" s="85" t="s">
        <v>12</v>
      </c>
      <c r="D285" s="9" t="s">
        <v>13</v>
      </c>
      <c r="E285" s="9" t="s">
        <v>14</v>
      </c>
      <c r="F285" s="9" t="s">
        <v>165</v>
      </c>
      <c r="G285" s="11" t="s">
        <v>15</v>
      </c>
      <c r="H285" s="11" t="s">
        <v>63</v>
      </c>
      <c r="I285" s="87"/>
      <c r="K285" s="44"/>
      <c r="M285" s="44"/>
    </row>
    <row r="286" spans="1:13" s="5" customFormat="1" x14ac:dyDescent="0.25">
      <c r="A286" s="39">
        <f t="shared" si="4"/>
        <v>285</v>
      </c>
      <c r="B286" s="35" t="s">
        <v>763</v>
      </c>
      <c r="C286" s="89" t="s">
        <v>12</v>
      </c>
      <c r="D286" s="2" t="s">
        <v>13</v>
      </c>
      <c r="E286" s="2" t="s">
        <v>14</v>
      </c>
      <c r="F286" s="6" t="s">
        <v>413</v>
      </c>
      <c r="G286" s="3" t="s">
        <v>15</v>
      </c>
      <c r="H286" s="1" t="s">
        <v>30</v>
      </c>
      <c r="I286" s="89" t="s">
        <v>24</v>
      </c>
      <c r="J286" s="42" t="s">
        <v>131</v>
      </c>
      <c r="K286" s="44" t="s">
        <v>784</v>
      </c>
      <c r="L286" s="5" t="s">
        <v>80</v>
      </c>
      <c r="M286" s="44" t="s">
        <v>255</v>
      </c>
    </row>
    <row r="287" spans="1:13" s="5" customFormat="1" x14ac:dyDescent="0.25">
      <c r="A287" s="39">
        <f t="shared" si="4"/>
        <v>286</v>
      </c>
      <c r="B287" s="35" t="s">
        <v>763</v>
      </c>
      <c r="C287" s="89" t="s">
        <v>12</v>
      </c>
      <c r="D287" s="2" t="s">
        <v>13</v>
      </c>
      <c r="E287" s="2" t="s">
        <v>14</v>
      </c>
      <c r="F287" s="6" t="s">
        <v>413</v>
      </c>
      <c r="G287" s="3" t="s">
        <v>15</v>
      </c>
      <c r="H287" s="1" t="s">
        <v>30</v>
      </c>
      <c r="I287" s="89" t="s">
        <v>24</v>
      </c>
      <c r="J287" s="42" t="s">
        <v>131</v>
      </c>
      <c r="K287" s="44" t="s">
        <v>785</v>
      </c>
      <c r="L287" s="5" t="s">
        <v>80</v>
      </c>
      <c r="M287" s="44" t="s">
        <v>255</v>
      </c>
    </row>
    <row r="288" spans="1:13" s="5" customFormat="1" x14ac:dyDescent="0.25">
      <c r="A288" s="39">
        <f t="shared" si="4"/>
        <v>287</v>
      </c>
      <c r="B288" s="35" t="s">
        <v>763</v>
      </c>
      <c r="C288" s="89" t="s">
        <v>12</v>
      </c>
      <c r="D288" s="2" t="s">
        <v>13</v>
      </c>
      <c r="E288" s="2" t="s">
        <v>14</v>
      </c>
      <c r="F288" s="6" t="s">
        <v>413</v>
      </c>
      <c r="G288" s="3" t="s">
        <v>15</v>
      </c>
      <c r="H288" s="4" t="s">
        <v>26</v>
      </c>
      <c r="I288" s="89" t="s">
        <v>22</v>
      </c>
      <c r="K288" s="172"/>
      <c r="M288" s="44"/>
    </row>
    <row r="289" spans="1:13" s="5" customFormat="1" x14ac:dyDescent="0.25">
      <c r="A289" s="39">
        <f t="shared" ref="A289:A352" si="5">A288+1</f>
        <v>288</v>
      </c>
      <c r="B289" s="35" t="s">
        <v>763</v>
      </c>
      <c r="C289" s="89" t="s">
        <v>12</v>
      </c>
      <c r="D289" s="2" t="s">
        <v>13</v>
      </c>
      <c r="E289" s="2" t="s">
        <v>14</v>
      </c>
      <c r="F289" s="6" t="s">
        <v>413</v>
      </c>
      <c r="G289" s="3" t="s">
        <v>15</v>
      </c>
      <c r="H289" s="4" t="s">
        <v>26</v>
      </c>
      <c r="I289" s="89" t="s">
        <v>156</v>
      </c>
      <c r="K289" s="172"/>
      <c r="M289" s="44"/>
    </row>
    <row r="290" spans="1:13" s="5" customFormat="1" x14ac:dyDescent="0.25">
      <c r="A290" s="39">
        <f t="shared" si="5"/>
        <v>289</v>
      </c>
      <c r="B290" s="35" t="s">
        <v>763</v>
      </c>
      <c r="C290" s="89" t="s">
        <v>12</v>
      </c>
      <c r="D290" s="2" t="s">
        <v>13</v>
      </c>
      <c r="E290" s="2" t="s">
        <v>14</v>
      </c>
      <c r="F290" s="6" t="s">
        <v>413</v>
      </c>
      <c r="G290" s="3" t="s">
        <v>15</v>
      </c>
      <c r="H290" s="4" t="s">
        <v>26</v>
      </c>
      <c r="I290" s="89" t="s">
        <v>104</v>
      </c>
      <c r="K290" s="172"/>
      <c r="M290" s="44"/>
    </row>
    <row r="291" spans="1:13" s="5" customFormat="1" x14ac:dyDescent="0.25">
      <c r="A291" s="39">
        <f t="shared" si="5"/>
        <v>290</v>
      </c>
      <c r="B291" s="35" t="s">
        <v>763</v>
      </c>
      <c r="C291" s="89" t="s">
        <v>12</v>
      </c>
      <c r="D291" s="2" t="s">
        <v>13</v>
      </c>
      <c r="E291" s="2" t="s">
        <v>14</v>
      </c>
      <c r="F291" s="6" t="s">
        <v>413</v>
      </c>
      <c r="G291" s="3" t="s">
        <v>15</v>
      </c>
      <c r="H291" s="4" t="s">
        <v>26</v>
      </c>
      <c r="I291" s="89" t="s">
        <v>416</v>
      </c>
      <c r="K291" s="172"/>
      <c r="M291" s="44"/>
    </row>
    <row r="292" spans="1:13" s="5" customFormat="1" x14ac:dyDescent="0.25">
      <c r="A292" s="39">
        <f t="shared" si="5"/>
        <v>291</v>
      </c>
      <c r="B292" s="35" t="s">
        <v>763</v>
      </c>
      <c r="C292" s="89" t="s">
        <v>12</v>
      </c>
      <c r="D292" s="2" t="s">
        <v>13</v>
      </c>
      <c r="E292" s="2" t="s">
        <v>14</v>
      </c>
      <c r="F292" s="6" t="s">
        <v>413</v>
      </c>
      <c r="G292" s="3" t="s">
        <v>15</v>
      </c>
      <c r="H292" s="4" t="s">
        <v>26</v>
      </c>
      <c r="I292" s="89" t="s">
        <v>22</v>
      </c>
      <c r="K292" s="172"/>
      <c r="M292" s="44"/>
    </row>
    <row r="293" spans="1:13" s="5" customFormat="1" x14ac:dyDescent="0.25">
      <c r="A293" s="39">
        <f t="shared" si="5"/>
        <v>292</v>
      </c>
      <c r="B293" s="35" t="s">
        <v>763</v>
      </c>
      <c r="C293" s="87" t="s">
        <v>12</v>
      </c>
      <c r="D293" s="5" t="s">
        <v>13</v>
      </c>
      <c r="E293" s="5" t="s">
        <v>14</v>
      </c>
      <c r="F293" s="43" t="s">
        <v>417</v>
      </c>
      <c r="G293" s="41" t="s">
        <v>15</v>
      </c>
      <c r="H293" s="46" t="s">
        <v>30</v>
      </c>
      <c r="I293" s="87" t="s">
        <v>85</v>
      </c>
      <c r="J293" s="5" t="s">
        <v>17</v>
      </c>
      <c r="K293" s="44" t="s">
        <v>418</v>
      </c>
      <c r="M293" s="172" t="s">
        <v>268</v>
      </c>
    </row>
    <row r="294" spans="1:13" s="5" customFormat="1" x14ac:dyDescent="0.25">
      <c r="A294" s="39">
        <f t="shared" si="5"/>
        <v>293</v>
      </c>
      <c r="B294" s="35" t="s">
        <v>763</v>
      </c>
      <c r="C294" s="87" t="s">
        <v>12</v>
      </c>
      <c r="D294" s="5" t="s">
        <v>13</v>
      </c>
      <c r="E294" s="5" t="s">
        <v>14</v>
      </c>
      <c r="F294" s="43" t="s">
        <v>417</v>
      </c>
      <c r="G294" s="41" t="s">
        <v>15</v>
      </c>
      <c r="H294" s="41" t="s">
        <v>16</v>
      </c>
      <c r="I294" s="87"/>
      <c r="J294" s="5" t="s">
        <v>419</v>
      </c>
      <c r="K294" s="172" t="s">
        <v>420</v>
      </c>
      <c r="L294" s="42" t="s">
        <v>114</v>
      </c>
      <c r="M294" s="172" t="s">
        <v>421</v>
      </c>
    </row>
    <row r="295" spans="1:13" s="5" customFormat="1" x14ac:dyDescent="0.25">
      <c r="A295" s="39">
        <f t="shared" si="5"/>
        <v>294</v>
      </c>
      <c r="B295" s="35" t="s">
        <v>763</v>
      </c>
      <c r="C295" s="87" t="s">
        <v>12</v>
      </c>
      <c r="D295" s="5" t="s">
        <v>13</v>
      </c>
      <c r="E295" s="5" t="s">
        <v>14</v>
      </c>
      <c r="F295" s="43" t="s">
        <v>417</v>
      </c>
      <c r="G295" s="41" t="s">
        <v>15</v>
      </c>
      <c r="H295" s="46" t="s">
        <v>30</v>
      </c>
      <c r="I295" s="87" t="s">
        <v>22</v>
      </c>
      <c r="J295" s="44" t="s">
        <v>17</v>
      </c>
      <c r="K295" s="172" t="s">
        <v>18</v>
      </c>
      <c r="L295" s="42" t="s">
        <v>125</v>
      </c>
      <c r="M295" s="44" t="s">
        <v>48</v>
      </c>
    </row>
    <row r="296" spans="1:13" s="5" customFormat="1" x14ac:dyDescent="0.25">
      <c r="A296" s="39">
        <f t="shared" si="5"/>
        <v>295</v>
      </c>
      <c r="B296" s="35" t="s">
        <v>763</v>
      </c>
      <c r="C296" s="87" t="s">
        <v>12</v>
      </c>
      <c r="D296" s="5" t="s">
        <v>13</v>
      </c>
      <c r="E296" s="5" t="s">
        <v>14</v>
      </c>
      <c r="F296" s="43" t="s">
        <v>417</v>
      </c>
      <c r="G296" s="41" t="s">
        <v>15</v>
      </c>
      <c r="H296" s="46" t="s">
        <v>30</v>
      </c>
      <c r="I296" s="87" t="s">
        <v>22</v>
      </c>
      <c r="J296" s="5" t="s">
        <v>17</v>
      </c>
      <c r="K296" s="44"/>
      <c r="M296" s="44"/>
    </row>
    <row r="297" spans="1:13" s="5" customFormat="1" x14ac:dyDescent="0.25">
      <c r="A297" s="39">
        <f t="shared" si="5"/>
        <v>296</v>
      </c>
      <c r="B297" s="35" t="s">
        <v>763</v>
      </c>
      <c r="C297" s="87" t="s">
        <v>12</v>
      </c>
      <c r="D297" s="5" t="s">
        <v>13</v>
      </c>
      <c r="E297" s="5" t="s">
        <v>14</v>
      </c>
      <c r="F297" s="43" t="s">
        <v>417</v>
      </c>
      <c r="G297" s="41" t="s">
        <v>96</v>
      </c>
      <c r="H297" s="41" t="s">
        <v>16</v>
      </c>
      <c r="I297" s="87"/>
      <c r="J297" s="5" t="s">
        <v>17</v>
      </c>
      <c r="K297" s="44" t="s">
        <v>134</v>
      </c>
      <c r="L297" s="5" t="s">
        <v>125</v>
      </c>
      <c r="M297" s="44" t="s">
        <v>422</v>
      </c>
    </row>
    <row r="298" spans="1:13" s="5" customFormat="1" x14ac:dyDescent="0.25">
      <c r="A298" s="39">
        <f t="shared" si="5"/>
        <v>297</v>
      </c>
      <c r="B298" s="35" t="s">
        <v>763</v>
      </c>
      <c r="C298" s="87" t="s">
        <v>12</v>
      </c>
      <c r="D298" s="5" t="s">
        <v>13</v>
      </c>
      <c r="E298" s="5" t="s">
        <v>14</v>
      </c>
      <c r="F298" s="43" t="s">
        <v>417</v>
      </c>
      <c r="G298" s="41" t="s">
        <v>15</v>
      </c>
      <c r="H298" s="46" t="s">
        <v>30</v>
      </c>
      <c r="I298" s="87" t="s">
        <v>22</v>
      </c>
      <c r="J298" s="44" t="s">
        <v>71</v>
      </c>
      <c r="K298" s="172" t="s">
        <v>18</v>
      </c>
      <c r="L298" s="42" t="s">
        <v>125</v>
      </c>
      <c r="M298" s="44" t="s">
        <v>48</v>
      </c>
    </row>
    <row r="299" spans="1:13" s="5" customFormat="1" x14ac:dyDescent="0.25">
      <c r="A299" s="39">
        <f t="shared" si="5"/>
        <v>298</v>
      </c>
      <c r="B299" s="35" t="s">
        <v>763</v>
      </c>
      <c r="C299" s="87" t="s">
        <v>12</v>
      </c>
      <c r="D299" s="5" t="s">
        <v>13</v>
      </c>
      <c r="E299" s="5" t="s">
        <v>14</v>
      </c>
      <c r="F299" s="43" t="s">
        <v>417</v>
      </c>
      <c r="G299" s="41" t="s">
        <v>15</v>
      </c>
      <c r="H299" s="46" t="s">
        <v>30</v>
      </c>
      <c r="I299" s="87" t="s">
        <v>85</v>
      </c>
      <c r="J299" s="5" t="s">
        <v>17</v>
      </c>
      <c r="K299" s="44" t="s">
        <v>786</v>
      </c>
      <c r="L299" s="5" t="s">
        <v>80</v>
      </c>
      <c r="M299" s="44" t="s">
        <v>81</v>
      </c>
    </row>
    <row r="300" spans="1:13" s="5" customFormat="1" x14ac:dyDescent="0.25">
      <c r="A300" s="39">
        <f t="shared" si="5"/>
        <v>299</v>
      </c>
      <c r="B300" s="35" t="s">
        <v>763</v>
      </c>
      <c r="C300" s="87" t="s">
        <v>12</v>
      </c>
      <c r="D300" s="5" t="s">
        <v>13</v>
      </c>
      <c r="E300" s="5" t="s">
        <v>14</v>
      </c>
      <c r="F300" s="43" t="s">
        <v>417</v>
      </c>
      <c r="G300" s="41" t="s">
        <v>15</v>
      </c>
      <c r="H300" s="46" t="s">
        <v>30</v>
      </c>
      <c r="I300" s="87" t="s">
        <v>423</v>
      </c>
      <c r="J300" s="44" t="s">
        <v>17</v>
      </c>
      <c r="K300" s="172" t="s">
        <v>18</v>
      </c>
      <c r="L300" s="42" t="s">
        <v>125</v>
      </c>
      <c r="M300" s="44" t="s">
        <v>48</v>
      </c>
    </row>
    <row r="301" spans="1:13" s="5" customFormat="1" x14ac:dyDescent="0.25">
      <c r="A301" s="39">
        <f t="shared" si="5"/>
        <v>300</v>
      </c>
      <c r="B301" s="35" t="s">
        <v>763</v>
      </c>
      <c r="C301" s="87" t="s">
        <v>12</v>
      </c>
      <c r="D301" s="5" t="s">
        <v>13</v>
      </c>
      <c r="E301" s="5" t="s">
        <v>14</v>
      </c>
      <c r="F301" s="43" t="s">
        <v>417</v>
      </c>
      <c r="G301" s="41" t="s">
        <v>15</v>
      </c>
      <c r="H301" s="46" t="s">
        <v>16</v>
      </c>
      <c r="I301" s="87" t="s">
        <v>423</v>
      </c>
      <c r="J301" s="5" t="s">
        <v>17</v>
      </c>
      <c r="K301" s="44" t="s">
        <v>134</v>
      </c>
      <c r="L301" s="5" t="s">
        <v>125</v>
      </c>
      <c r="M301" s="44" t="s">
        <v>214</v>
      </c>
    </row>
    <row r="302" spans="1:13" s="5" customFormat="1" x14ac:dyDescent="0.25">
      <c r="A302" s="192">
        <f t="shared" si="5"/>
        <v>301</v>
      </c>
      <c r="B302" s="199" t="s">
        <v>763</v>
      </c>
      <c r="C302" s="194" t="s">
        <v>12</v>
      </c>
      <c r="D302" s="193" t="s">
        <v>13</v>
      </c>
      <c r="E302" s="193" t="s">
        <v>14</v>
      </c>
      <c r="F302" s="196" t="s">
        <v>417</v>
      </c>
      <c r="G302" s="197" t="s">
        <v>15</v>
      </c>
      <c r="H302" s="200" t="s">
        <v>67</v>
      </c>
      <c r="I302" s="87"/>
      <c r="K302" s="44"/>
      <c r="M302" s="44"/>
    </row>
    <row r="303" spans="1:13" s="5" customFormat="1" x14ac:dyDescent="0.25">
      <c r="A303" s="39">
        <f t="shared" si="5"/>
        <v>302</v>
      </c>
      <c r="B303" s="35" t="s">
        <v>763</v>
      </c>
      <c r="C303" s="87" t="s">
        <v>12</v>
      </c>
      <c r="D303" s="5" t="s">
        <v>13</v>
      </c>
      <c r="E303" s="5" t="s">
        <v>14</v>
      </c>
      <c r="F303" s="43" t="s">
        <v>417</v>
      </c>
      <c r="G303" s="41" t="s">
        <v>15</v>
      </c>
      <c r="H303" s="46" t="s">
        <v>30</v>
      </c>
      <c r="I303" s="87" t="s">
        <v>424</v>
      </c>
      <c r="J303" s="44" t="s">
        <v>17</v>
      </c>
      <c r="K303" s="172" t="s">
        <v>18</v>
      </c>
      <c r="L303" s="42" t="s">
        <v>125</v>
      </c>
      <c r="M303" s="44" t="s">
        <v>48</v>
      </c>
    </row>
    <row r="304" spans="1:13" s="5" customFormat="1" x14ac:dyDescent="0.25">
      <c r="A304" s="39">
        <f t="shared" si="5"/>
        <v>303</v>
      </c>
      <c r="B304" s="35" t="s">
        <v>763</v>
      </c>
      <c r="C304" s="87" t="s">
        <v>12</v>
      </c>
      <c r="D304" s="5" t="s">
        <v>13</v>
      </c>
      <c r="E304" s="5" t="s">
        <v>14</v>
      </c>
      <c r="F304" s="40" t="s">
        <v>425</v>
      </c>
      <c r="G304" s="41" t="s">
        <v>15</v>
      </c>
      <c r="H304" s="46" t="s">
        <v>30</v>
      </c>
      <c r="I304" s="210" t="s">
        <v>797</v>
      </c>
      <c r="J304" s="44" t="s">
        <v>17</v>
      </c>
      <c r="K304" s="44" t="s">
        <v>798</v>
      </c>
      <c r="L304" s="5" t="s">
        <v>799</v>
      </c>
      <c r="M304" s="44" t="s">
        <v>800</v>
      </c>
    </row>
    <row r="305" spans="1:13" s="5" customFormat="1" x14ac:dyDescent="0.25">
      <c r="A305" s="39">
        <f t="shared" si="5"/>
        <v>304</v>
      </c>
      <c r="B305" s="35" t="s">
        <v>763</v>
      </c>
      <c r="C305" s="87" t="s">
        <v>12</v>
      </c>
      <c r="D305" s="5" t="s">
        <v>13</v>
      </c>
      <c r="E305" s="5" t="s">
        <v>14</v>
      </c>
      <c r="F305" s="40" t="s">
        <v>425</v>
      </c>
      <c r="G305" s="41" t="s">
        <v>15</v>
      </c>
      <c r="H305" s="46" t="s">
        <v>30</v>
      </c>
      <c r="I305" s="187" t="s">
        <v>22</v>
      </c>
      <c r="J305" s="5" t="s">
        <v>17</v>
      </c>
      <c r="K305" s="172" t="s">
        <v>202</v>
      </c>
      <c r="L305" s="42" t="s">
        <v>47</v>
      </c>
      <c r="M305" s="172" t="s">
        <v>426</v>
      </c>
    </row>
    <row r="306" spans="1:13" s="5" customFormat="1" x14ac:dyDescent="0.25">
      <c r="A306" s="39">
        <f t="shared" si="5"/>
        <v>305</v>
      </c>
      <c r="B306" s="35" t="s">
        <v>763</v>
      </c>
      <c r="C306" s="87" t="s">
        <v>12</v>
      </c>
      <c r="D306" s="5" t="s">
        <v>13</v>
      </c>
      <c r="E306" s="5" t="s">
        <v>14</v>
      </c>
      <c r="F306" s="40" t="s">
        <v>425</v>
      </c>
      <c r="G306" s="41" t="s">
        <v>15</v>
      </c>
      <c r="H306" s="46" t="s">
        <v>30</v>
      </c>
      <c r="I306" s="187" t="s">
        <v>22</v>
      </c>
      <c r="J306" s="5" t="s">
        <v>17</v>
      </c>
      <c r="K306" s="172" t="s">
        <v>202</v>
      </c>
      <c r="L306" s="42" t="s">
        <v>47</v>
      </c>
      <c r="M306" s="172" t="s">
        <v>214</v>
      </c>
    </row>
    <row r="307" spans="1:13" s="5" customFormat="1" x14ac:dyDescent="0.25">
      <c r="A307" s="39">
        <f t="shared" si="5"/>
        <v>306</v>
      </c>
      <c r="B307" s="35" t="s">
        <v>763</v>
      </c>
      <c r="C307" s="87" t="s">
        <v>12</v>
      </c>
      <c r="D307" s="5" t="s">
        <v>13</v>
      </c>
      <c r="E307" s="5" t="s">
        <v>14</v>
      </c>
      <c r="F307" s="40" t="s">
        <v>425</v>
      </c>
      <c r="G307" s="41" t="s">
        <v>15</v>
      </c>
      <c r="H307" s="46" t="s">
        <v>30</v>
      </c>
      <c r="I307" s="187" t="s">
        <v>22</v>
      </c>
      <c r="J307" s="5" t="s">
        <v>17</v>
      </c>
      <c r="K307" s="172" t="s">
        <v>427</v>
      </c>
      <c r="L307" s="42" t="s">
        <v>114</v>
      </c>
      <c r="M307" s="172" t="s">
        <v>268</v>
      </c>
    </row>
    <row r="308" spans="1:13" s="5" customFormat="1" x14ac:dyDescent="0.25">
      <c r="A308" s="39">
        <f t="shared" si="5"/>
        <v>307</v>
      </c>
      <c r="B308" s="35" t="s">
        <v>763</v>
      </c>
      <c r="C308" s="87" t="s">
        <v>12</v>
      </c>
      <c r="D308" s="5" t="s">
        <v>13</v>
      </c>
      <c r="E308" s="5" t="s">
        <v>14</v>
      </c>
      <c r="F308" s="40" t="s">
        <v>425</v>
      </c>
      <c r="G308" s="41" t="s">
        <v>15</v>
      </c>
      <c r="H308" s="46" t="s">
        <v>16</v>
      </c>
      <c r="I308" s="87"/>
      <c r="J308" s="5" t="s">
        <v>17</v>
      </c>
      <c r="K308" s="44" t="s">
        <v>428</v>
      </c>
      <c r="L308" s="5" t="s">
        <v>852</v>
      </c>
      <c r="M308" s="172" t="s">
        <v>429</v>
      </c>
    </row>
    <row r="309" spans="1:13" s="5" customFormat="1" x14ac:dyDescent="0.25">
      <c r="A309" s="39">
        <f t="shared" si="5"/>
        <v>308</v>
      </c>
      <c r="B309" s="35" t="s">
        <v>763</v>
      </c>
      <c r="C309" s="87" t="s">
        <v>12</v>
      </c>
      <c r="D309" s="5" t="s">
        <v>13</v>
      </c>
      <c r="E309" s="5" t="s">
        <v>14</v>
      </c>
      <c r="F309" s="40" t="s">
        <v>425</v>
      </c>
      <c r="G309" s="41" t="s">
        <v>15</v>
      </c>
      <c r="H309" s="46" t="s">
        <v>30</v>
      </c>
      <c r="I309" s="187" t="s">
        <v>22</v>
      </c>
      <c r="J309" s="44" t="s">
        <v>17</v>
      </c>
      <c r="K309" s="172" t="s">
        <v>18</v>
      </c>
      <c r="L309" s="42" t="s">
        <v>125</v>
      </c>
      <c r="M309" s="44" t="s">
        <v>148</v>
      </c>
    </row>
    <row r="310" spans="1:13" s="5" customFormat="1" x14ac:dyDescent="0.25">
      <c r="A310" s="39">
        <f t="shared" si="5"/>
        <v>309</v>
      </c>
      <c r="B310" s="35" t="s">
        <v>763</v>
      </c>
      <c r="C310" s="87" t="s">
        <v>12</v>
      </c>
      <c r="D310" s="5" t="s">
        <v>13</v>
      </c>
      <c r="E310" s="5" t="s">
        <v>14</v>
      </c>
      <c r="F310" s="40" t="s">
        <v>425</v>
      </c>
      <c r="G310" s="41" t="s">
        <v>15</v>
      </c>
      <c r="H310" s="42" t="s">
        <v>30</v>
      </c>
      <c r="I310" s="87"/>
      <c r="K310" s="44"/>
      <c r="M310" s="44"/>
    </row>
    <row r="311" spans="1:13" s="5" customFormat="1" x14ac:dyDescent="0.25">
      <c r="A311" s="39">
        <f t="shared" si="5"/>
        <v>310</v>
      </c>
      <c r="B311" s="35" t="s">
        <v>763</v>
      </c>
      <c r="C311" s="87" t="s">
        <v>12</v>
      </c>
      <c r="D311" s="5" t="s">
        <v>13</v>
      </c>
      <c r="E311" s="5" t="s">
        <v>14</v>
      </c>
      <c r="F311" s="40" t="s">
        <v>425</v>
      </c>
      <c r="G311" s="41" t="s">
        <v>15</v>
      </c>
      <c r="H311" s="46" t="s">
        <v>26</v>
      </c>
      <c r="I311" s="187" t="s">
        <v>22</v>
      </c>
      <c r="K311" s="44"/>
      <c r="M311" s="44"/>
    </row>
    <row r="312" spans="1:13" s="5" customFormat="1" x14ac:dyDescent="0.25">
      <c r="A312" s="39">
        <f t="shared" si="5"/>
        <v>311</v>
      </c>
      <c r="B312" s="35" t="s">
        <v>763</v>
      </c>
      <c r="C312" s="87" t="s">
        <v>12</v>
      </c>
      <c r="D312" s="5" t="s">
        <v>13</v>
      </c>
      <c r="E312" s="5" t="s">
        <v>14</v>
      </c>
      <c r="F312" s="40" t="s">
        <v>425</v>
      </c>
      <c r="G312" s="41" t="s">
        <v>15</v>
      </c>
      <c r="H312" s="46" t="s">
        <v>30</v>
      </c>
      <c r="I312" s="87" t="s">
        <v>430</v>
      </c>
      <c r="J312" s="44" t="s">
        <v>431</v>
      </c>
      <c r="K312" s="172" t="s">
        <v>18</v>
      </c>
      <c r="L312" s="42" t="s">
        <v>125</v>
      </c>
      <c r="M312" s="44" t="s">
        <v>148</v>
      </c>
    </row>
    <row r="313" spans="1:13" s="5" customFormat="1" x14ac:dyDescent="0.25">
      <c r="A313" s="39">
        <f t="shared" si="5"/>
        <v>312</v>
      </c>
      <c r="B313" s="35" t="s">
        <v>763</v>
      </c>
      <c r="C313" s="87" t="s">
        <v>12</v>
      </c>
      <c r="D313" s="5" t="s">
        <v>13</v>
      </c>
      <c r="E313" s="5" t="s">
        <v>14</v>
      </c>
      <c r="F313" s="40" t="s">
        <v>772</v>
      </c>
      <c r="G313" s="41" t="s">
        <v>15</v>
      </c>
      <c r="H313" s="46" t="s">
        <v>26</v>
      </c>
      <c r="I313" s="87" t="s">
        <v>432</v>
      </c>
      <c r="J313" s="5" t="s">
        <v>433</v>
      </c>
      <c r="K313" s="44"/>
      <c r="M313" s="44"/>
    </row>
    <row r="314" spans="1:13" s="5" customFormat="1" x14ac:dyDescent="0.25">
      <c r="A314" s="39">
        <f t="shared" si="5"/>
        <v>313</v>
      </c>
      <c r="B314" s="35" t="s">
        <v>763</v>
      </c>
      <c r="C314" s="87" t="s">
        <v>12</v>
      </c>
      <c r="D314" s="5" t="s">
        <v>13</v>
      </c>
      <c r="E314" s="5" t="s">
        <v>14</v>
      </c>
      <c r="F314" s="40" t="s">
        <v>772</v>
      </c>
      <c r="G314" s="41" t="s">
        <v>15</v>
      </c>
      <c r="H314" s="42" t="s">
        <v>26</v>
      </c>
      <c r="I314" s="42" t="s">
        <v>517</v>
      </c>
      <c r="J314" s="5" t="s">
        <v>433</v>
      </c>
      <c r="K314" s="44"/>
      <c r="M314" s="44"/>
    </row>
    <row r="315" spans="1:13" s="5" customFormat="1" x14ac:dyDescent="0.25">
      <c r="A315" s="39">
        <f t="shared" si="5"/>
        <v>314</v>
      </c>
      <c r="B315" s="35" t="s">
        <v>763</v>
      </c>
      <c r="C315" s="87" t="s">
        <v>12</v>
      </c>
      <c r="D315" s="5" t="s">
        <v>13</v>
      </c>
      <c r="E315" s="5" t="s">
        <v>14</v>
      </c>
      <c r="F315" s="40" t="s">
        <v>772</v>
      </c>
      <c r="G315" s="41" t="s">
        <v>15</v>
      </c>
      <c r="H315" s="46" t="s">
        <v>30</v>
      </c>
      <c r="I315" s="87" t="s">
        <v>22</v>
      </c>
      <c r="J315" s="5" t="s">
        <v>17</v>
      </c>
      <c r="K315" s="172" t="s">
        <v>61</v>
      </c>
      <c r="L315" s="42" t="s">
        <v>779</v>
      </c>
      <c r="M315" s="44" t="s">
        <v>48</v>
      </c>
    </row>
    <row r="316" spans="1:13" s="5" customFormat="1" x14ac:dyDescent="0.25">
      <c r="A316" s="39">
        <f t="shared" si="5"/>
        <v>315</v>
      </c>
      <c r="B316" s="35" t="s">
        <v>763</v>
      </c>
      <c r="C316" s="87" t="s">
        <v>12</v>
      </c>
      <c r="D316" s="5" t="s">
        <v>13</v>
      </c>
      <c r="E316" s="5" t="s">
        <v>14</v>
      </c>
      <c r="F316" s="40" t="s">
        <v>772</v>
      </c>
      <c r="G316" s="46" t="s">
        <v>98</v>
      </c>
      <c r="H316" s="46" t="s">
        <v>26</v>
      </c>
      <c r="I316" s="87" t="s">
        <v>22</v>
      </c>
      <c r="K316" s="44"/>
      <c r="M316" s="44"/>
    </row>
    <row r="317" spans="1:13" s="5" customFormat="1" x14ac:dyDescent="0.25">
      <c r="A317" s="39">
        <f t="shared" si="5"/>
        <v>316</v>
      </c>
      <c r="B317" s="35" t="s">
        <v>763</v>
      </c>
      <c r="C317" s="87" t="s">
        <v>12</v>
      </c>
      <c r="D317" s="5" t="s">
        <v>13</v>
      </c>
      <c r="E317" s="5" t="s">
        <v>14</v>
      </c>
      <c r="F317" s="40" t="s">
        <v>772</v>
      </c>
      <c r="G317" s="41" t="s">
        <v>15</v>
      </c>
      <c r="H317" s="41" t="s">
        <v>16</v>
      </c>
      <c r="I317" s="87" t="s">
        <v>22</v>
      </c>
      <c r="J317" s="44" t="s">
        <v>17</v>
      </c>
      <c r="K317" s="172" t="s">
        <v>18</v>
      </c>
      <c r="L317" s="42" t="s">
        <v>125</v>
      </c>
      <c r="M317" s="44" t="s">
        <v>48</v>
      </c>
    </row>
    <row r="318" spans="1:13" s="5" customFormat="1" x14ac:dyDescent="0.25">
      <c r="A318" s="39">
        <f t="shared" si="5"/>
        <v>317</v>
      </c>
      <c r="B318" s="35" t="s">
        <v>763</v>
      </c>
      <c r="C318" s="87" t="s">
        <v>12</v>
      </c>
      <c r="D318" s="5" t="s">
        <v>13</v>
      </c>
      <c r="E318" s="5" t="s">
        <v>14</v>
      </c>
      <c r="F318" s="40" t="s">
        <v>772</v>
      </c>
      <c r="G318" s="41" t="s">
        <v>15</v>
      </c>
      <c r="H318" s="46" t="s">
        <v>30</v>
      </c>
      <c r="I318" s="87" t="s">
        <v>22</v>
      </c>
      <c r="J318" s="44" t="s">
        <v>17</v>
      </c>
      <c r="K318" s="172" t="s">
        <v>18</v>
      </c>
      <c r="L318" s="42" t="s">
        <v>125</v>
      </c>
      <c r="M318" s="44" t="s">
        <v>48</v>
      </c>
    </row>
    <row r="319" spans="1:13" s="5" customFormat="1" x14ac:dyDescent="0.25">
      <c r="A319" s="39">
        <f t="shared" si="5"/>
        <v>318</v>
      </c>
      <c r="B319" s="35" t="s">
        <v>763</v>
      </c>
      <c r="C319" s="87" t="s">
        <v>12</v>
      </c>
      <c r="D319" s="5" t="s">
        <v>13</v>
      </c>
      <c r="E319" s="5" t="s">
        <v>14</v>
      </c>
      <c r="F319" s="40" t="s">
        <v>772</v>
      </c>
      <c r="G319" s="41" t="s">
        <v>15</v>
      </c>
      <c r="H319" s="46" t="s">
        <v>26</v>
      </c>
      <c r="I319" s="87" t="s">
        <v>22</v>
      </c>
      <c r="K319" s="44"/>
      <c r="M319" s="44"/>
    </row>
    <row r="320" spans="1:13" s="5" customFormat="1" x14ac:dyDescent="0.25">
      <c r="A320" s="39">
        <f t="shared" si="5"/>
        <v>319</v>
      </c>
      <c r="B320" s="35" t="s">
        <v>763</v>
      </c>
      <c r="C320" s="87" t="s">
        <v>12</v>
      </c>
      <c r="D320" s="5" t="s">
        <v>13</v>
      </c>
      <c r="E320" s="5" t="s">
        <v>14</v>
      </c>
      <c r="F320" s="40" t="s">
        <v>772</v>
      </c>
      <c r="G320" s="46" t="s">
        <v>98</v>
      </c>
      <c r="H320" s="46" t="s">
        <v>26</v>
      </c>
      <c r="I320" s="87" t="s">
        <v>85</v>
      </c>
      <c r="K320" s="44"/>
      <c r="M320" s="44"/>
    </row>
    <row r="321" spans="1:13" s="5" customFormat="1" x14ac:dyDescent="0.25">
      <c r="A321" s="39">
        <f t="shared" si="5"/>
        <v>320</v>
      </c>
      <c r="B321" s="35" t="s">
        <v>763</v>
      </c>
      <c r="C321" s="87" t="s">
        <v>12</v>
      </c>
      <c r="D321" s="5" t="s">
        <v>13</v>
      </c>
      <c r="E321" s="5" t="s">
        <v>14</v>
      </c>
      <c r="F321" s="40" t="s">
        <v>772</v>
      </c>
      <c r="G321" s="46" t="s">
        <v>15</v>
      </c>
      <c r="H321" s="46" t="s">
        <v>26</v>
      </c>
      <c r="I321" s="87" t="s">
        <v>130</v>
      </c>
      <c r="K321" s="44"/>
      <c r="M321" s="44"/>
    </row>
    <row r="322" spans="1:13" s="5" customFormat="1" x14ac:dyDescent="0.25">
      <c r="A322" s="39">
        <f t="shared" si="5"/>
        <v>321</v>
      </c>
      <c r="B322" s="35" t="s">
        <v>763</v>
      </c>
      <c r="C322" s="87" t="s">
        <v>12</v>
      </c>
      <c r="D322" s="5" t="s">
        <v>13</v>
      </c>
      <c r="E322" s="5" t="s">
        <v>14</v>
      </c>
      <c r="F322" s="40" t="s">
        <v>766</v>
      </c>
      <c r="G322" s="46" t="s">
        <v>15</v>
      </c>
      <c r="H322" s="46" t="s">
        <v>30</v>
      </c>
      <c r="I322" s="87" t="s">
        <v>130</v>
      </c>
      <c r="J322" s="5" t="s">
        <v>434</v>
      </c>
      <c r="K322" s="44" t="s">
        <v>786</v>
      </c>
      <c r="L322" s="5" t="s">
        <v>80</v>
      </c>
      <c r="M322" s="44" t="s">
        <v>217</v>
      </c>
    </row>
    <row r="323" spans="1:13" s="5" customFormat="1" x14ac:dyDescent="0.25">
      <c r="A323" s="39">
        <f t="shared" si="5"/>
        <v>322</v>
      </c>
      <c r="B323" s="35" t="s">
        <v>763</v>
      </c>
      <c r="C323" s="87" t="s">
        <v>12</v>
      </c>
      <c r="D323" s="5" t="s">
        <v>13</v>
      </c>
      <c r="E323" s="5" t="s">
        <v>14</v>
      </c>
      <c r="F323" s="40" t="s">
        <v>766</v>
      </c>
      <c r="G323" s="46" t="s">
        <v>15</v>
      </c>
      <c r="H323" s="41" t="s">
        <v>16</v>
      </c>
      <c r="I323" s="87" t="s">
        <v>432</v>
      </c>
      <c r="J323" s="5" t="s">
        <v>433</v>
      </c>
      <c r="K323" s="44" t="s">
        <v>435</v>
      </c>
      <c r="L323" s="42" t="s">
        <v>114</v>
      </c>
      <c r="M323" s="172" t="s">
        <v>436</v>
      </c>
    </row>
    <row r="324" spans="1:13" s="5" customFormat="1" x14ac:dyDescent="0.25">
      <c r="A324" s="8">
        <f t="shared" si="5"/>
        <v>323</v>
      </c>
      <c r="B324" s="34" t="s">
        <v>763</v>
      </c>
      <c r="C324" s="85" t="s">
        <v>12</v>
      </c>
      <c r="D324" s="9" t="s">
        <v>13</v>
      </c>
      <c r="E324" s="9" t="s">
        <v>14</v>
      </c>
      <c r="F324" s="13" t="s">
        <v>766</v>
      </c>
      <c r="G324" s="21" t="s">
        <v>15</v>
      </c>
      <c r="H324" s="9" t="s">
        <v>63</v>
      </c>
      <c r="I324" s="87"/>
      <c r="K324" s="44"/>
      <c r="M324" s="44"/>
    </row>
    <row r="325" spans="1:13" s="5" customFormat="1" x14ac:dyDescent="0.25">
      <c r="A325" s="39">
        <f t="shared" si="5"/>
        <v>324</v>
      </c>
      <c r="B325" s="35" t="s">
        <v>763</v>
      </c>
      <c r="C325" s="87" t="s">
        <v>12</v>
      </c>
      <c r="D325" s="5" t="s">
        <v>13</v>
      </c>
      <c r="E325" s="5" t="s">
        <v>14</v>
      </c>
      <c r="F325" s="43" t="s">
        <v>437</v>
      </c>
      <c r="G325" s="46" t="s">
        <v>15</v>
      </c>
      <c r="H325" s="41" t="s">
        <v>16</v>
      </c>
      <c r="I325" s="87" t="s">
        <v>438</v>
      </c>
      <c r="J325" s="5" t="s">
        <v>434</v>
      </c>
      <c r="K325" s="172" t="s">
        <v>58</v>
      </c>
      <c r="L325" s="42" t="s">
        <v>47</v>
      </c>
      <c r="M325" s="172" t="s">
        <v>439</v>
      </c>
    </row>
    <row r="326" spans="1:13" s="5" customFormat="1" x14ac:dyDescent="0.25">
      <c r="A326" s="14">
        <f t="shared" si="5"/>
        <v>325</v>
      </c>
      <c r="B326" s="37" t="s">
        <v>763</v>
      </c>
      <c r="C326" s="86" t="s">
        <v>12</v>
      </c>
      <c r="D326" s="15" t="s">
        <v>13</v>
      </c>
      <c r="E326" s="15" t="s">
        <v>14</v>
      </c>
      <c r="F326" s="17" t="s">
        <v>437</v>
      </c>
      <c r="G326" s="19" t="s">
        <v>15</v>
      </c>
      <c r="H326" s="19" t="s">
        <v>122</v>
      </c>
      <c r="I326" s="86"/>
      <c r="J326" s="15"/>
      <c r="K326" s="16"/>
      <c r="L326" s="15"/>
      <c r="M326" s="16"/>
    </row>
    <row r="327" spans="1:13" s="5" customFormat="1" x14ac:dyDescent="0.25">
      <c r="A327" s="39">
        <f t="shared" si="5"/>
        <v>326</v>
      </c>
      <c r="B327" s="35" t="s">
        <v>763</v>
      </c>
      <c r="C327" s="87" t="s">
        <v>12</v>
      </c>
      <c r="D327" s="5" t="s">
        <v>13</v>
      </c>
      <c r="E327" s="5" t="s">
        <v>14</v>
      </c>
      <c r="F327" s="43" t="s">
        <v>437</v>
      </c>
      <c r="G327" s="46" t="s">
        <v>15</v>
      </c>
      <c r="H327" s="41" t="s">
        <v>16</v>
      </c>
      <c r="I327" s="87" t="s">
        <v>12</v>
      </c>
      <c r="J327" s="5" t="s">
        <v>434</v>
      </c>
      <c r="K327" s="172" t="s">
        <v>202</v>
      </c>
      <c r="L327" s="42" t="s">
        <v>47</v>
      </c>
      <c r="M327" s="44" t="s">
        <v>426</v>
      </c>
    </row>
    <row r="328" spans="1:13" s="5" customFormat="1" x14ac:dyDescent="0.25">
      <c r="A328" s="39">
        <f t="shared" si="5"/>
        <v>327</v>
      </c>
      <c r="B328" s="35" t="s">
        <v>763</v>
      </c>
      <c r="C328" s="87" t="s">
        <v>12</v>
      </c>
      <c r="D328" s="5" t="s">
        <v>13</v>
      </c>
      <c r="E328" s="5" t="s">
        <v>14</v>
      </c>
      <c r="F328" s="43" t="s">
        <v>437</v>
      </c>
      <c r="G328" s="46" t="s">
        <v>15</v>
      </c>
      <c r="H328" s="41" t="s">
        <v>16</v>
      </c>
      <c r="I328" s="87" t="s">
        <v>440</v>
      </c>
      <c r="J328" s="44" t="s">
        <v>434</v>
      </c>
      <c r="K328" s="172" t="s">
        <v>18</v>
      </c>
      <c r="L328" s="42" t="s">
        <v>125</v>
      </c>
      <c r="M328" s="44" t="s">
        <v>148</v>
      </c>
    </row>
    <row r="329" spans="1:13" s="5" customFormat="1" x14ac:dyDescent="0.25">
      <c r="A329" s="39">
        <f t="shared" si="5"/>
        <v>328</v>
      </c>
      <c r="B329" s="35" t="s">
        <v>763</v>
      </c>
      <c r="C329" s="87" t="s">
        <v>12</v>
      </c>
      <c r="D329" s="5" t="s">
        <v>13</v>
      </c>
      <c r="E329" s="5" t="s">
        <v>14</v>
      </c>
      <c r="F329" s="43" t="s">
        <v>437</v>
      </c>
      <c r="G329" s="46" t="s">
        <v>15</v>
      </c>
      <c r="H329" s="41" t="s">
        <v>16</v>
      </c>
      <c r="I329" s="87" t="s">
        <v>130</v>
      </c>
      <c r="J329" s="5" t="s">
        <v>131</v>
      </c>
      <c r="K329" s="172" t="s">
        <v>202</v>
      </c>
      <c r="L329" s="42" t="s">
        <v>47</v>
      </c>
      <c r="M329" s="44" t="s">
        <v>426</v>
      </c>
    </row>
    <row r="330" spans="1:13" s="5" customFormat="1" x14ac:dyDescent="0.25">
      <c r="A330" s="39">
        <f t="shared" si="5"/>
        <v>329</v>
      </c>
      <c r="B330" s="35" t="s">
        <v>763</v>
      </c>
      <c r="C330" s="87" t="s">
        <v>12</v>
      </c>
      <c r="D330" s="5" t="s">
        <v>13</v>
      </c>
      <c r="E330" s="5" t="s">
        <v>14</v>
      </c>
      <c r="F330" s="43" t="s">
        <v>437</v>
      </c>
      <c r="G330" s="46" t="s">
        <v>15</v>
      </c>
      <c r="H330" s="41" t="s">
        <v>16</v>
      </c>
      <c r="I330" s="87"/>
      <c r="J330" s="5" t="s">
        <v>434</v>
      </c>
      <c r="K330" s="172" t="s">
        <v>58</v>
      </c>
      <c r="L330" s="42" t="s">
        <v>47</v>
      </c>
      <c r="M330" s="44" t="s">
        <v>268</v>
      </c>
    </row>
    <row r="331" spans="1:13" s="5" customFormat="1" x14ac:dyDescent="0.25">
      <c r="A331" s="39">
        <f t="shared" si="5"/>
        <v>330</v>
      </c>
      <c r="B331" s="35" t="s">
        <v>763</v>
      </c>
      <c r="C331" s="87" t="s">
        <v>12</v>
      </c>
      <c r="D331" s="5" t="s">
        <v>13</v>
      </c>
      <c r="E331" s="5" t="s">
        <v>14</v>
      </c>
      <c r="F331" s="43" t="s">
        <v>437</v>
      </c>
      <c r="G331" s="46" t="s">
        <v>15</v>
      </c>
      <c r="H331" s="41" t="s">
        <v>16</v>
      </c>
      <c r="I331" s="87"/>
      <c r="J331" s="5" t="s">
        <v>434</v>
      </c>
      <c r="K331" s="172" t="s">
        <v>202</v>
      </c>
      <c r="L331" s="42" t="s">
        <v>47</v>
      </c>
      <c r="M331" s="44" t="s">
        <v>441</v>
      </c>
    </row>
    <row r="332" spans="1:13" s="5" customFormat="1" x14ac:dyDescent="0.25">
      <c r="A332" s="39">
        <f t="shared" si="5"/>
        <v>331</v>
      </c>
      <c r="B332" s="35" t="s">
        <v>763</v>
      </c>
      <c r="C332" s="87" t="s">
        <v>12</v>
      </c>
      <c r="D332" s="5" t="s">
        <v>13</v>
      </c>
      <c r="E332" s="5" t="s">
        <v>14</v>
      </c>
      <c r="F332" s="43" t="s">
        <v>437</v>
      </c>
      <c r="G332" s="46" t="s">
        <v>15</v>
      </c>
      <c r="H332" s="41" t="s">
        <v>16</v>
      </c>
      <c r="I332" s="87"/>
      <c r="J332" s="5" t="s">
        <v>434</v>
      </c>
      <c r="K332" s="172" t="s">
        <v>202</v>
      </c>
      <c r="L332" s="42" t="s">
        <v>47</v>
      </c>
      <c r="M332" s="44" t="s">
        <v>214</v>
      </c>
    </row>
    <row r="333" spans="1:13" s="5" customFormat="1" x14ac:dyDescent="0.25">
      <c r="A333" s="39">
        <f t="shared" si="5"/>
        <v>332</v>
      </c>
      <c r="B333" s="35" t="s">
        <v>763</v>
      </c>
      <c r="C333" s="87" t="s">
        <v>12</v>
      </c>
      <c r="D333" s="5" t="s">
        <v>13</v>
      </c>
      <c r="E333" s="5" t="s">
        <v>14</v>
      </c>
      <c r="F333" s="43" t="s">
        <v>437</v>
      </c>
      <c r="G333" s="41" t="s">
        <v>98</v>
      </c>
      <c r="H333" s="41" t="s">
        <v>16</v>
      </c>
      <c r="I333" s="87" t="s">
        <v>442</v>
      </c>
      <c r="J333" s="5" t="s">
        <v>434</v>
      </c>
      <c r="K333" s="172" t="s">
        <v>443</v>
      </c>
      <c r="L333" s="42" t="s">
        <v>47</v>
      </c>
      <c r="M333" s="44" t="s">
        <v>444</v>
      </c>
    </row>
    <row r="334" spans="1:13" s="5" customFormat="1" x14ac:dyDescent="0.25">
      <c r="A334" s="39">
        <f t="shared" si="5"/>
        <v>333</v>
      </c>
      <c r="B334" s="35" t="s">
        <v>763</v>
      </c>
      <c r="C334" s="87" t="s">
        <v>12</v>
      </c>
      <c r="D334" s="5" t="s">
        <v>13</v>
      </c>
      <c r="E334" s="5" t="s">
        <v>14</v>
      </c>
      <c r="F334" s="43" t="s">
        <v>437</v>
      </c>
      <c r="G334" s="41" t="s">
        <v>15</v>
      </c>
      <c r="H334" s="42" t="s">
        <v>30</v>
      </c>
      <c r="I334" s="87" t="s">
        <v>767</v>
      </c>
      <c r="J334" s="5" t="s">
        <v>31</v>
      </c>
      <c r="K334" s="44" t="s">
        <v>768</v>
      </c>
      <c r="M334" s="44"/>
    </row>
    <row r="335" spans="1:13" s="5" customFormat="1" x14ac:dyDescent="0.25">
      <c r="A335" s="39">
        <f t="shared" si="5"/>
        <v>334</v>
      </c>
      <c r="B335" s="35" t="s">
        <v>763</v>
      </c>
      <c r="C335" s="87" t="s">
        <v>12</v>
      </c>
      <c r="D335" s="5" t="s">
        <v>13</v>
      </c>
      <c r="E335" s="5" t="s">
        <v>14</v>
      </c>
      <c r="F335" s="43" t="s">
        <v>437</v>
      </c>
      <c r="G335" s="41" t="s">
        <v>15</v>
      </c>
      <c r="H335" s="41" t="s">
        <v>16</v>
      </c>
      <c r="I335" s="87"/>
      <c r="J335" s="5" t="s">
        <v>434</v>
      </c>
      <c r="K335" s="172" t="s">
        <v>202</v>
      </c>
      <c r="L335" s="42" t="s">
        <v>47</v>
      </c>
      <c r="M335" s="44" t="s">
        <v>441</v>
      </c>
    </row>
    <row r="336" spans="1:13" s="5" customFormat="1" x14ac:dyDescent="0.25">
      <c r="A336" s="39">
        <f t="shared" si="5"/>
        <v>335</v>
      </c>
      <c r="B336" s="35" t="s">
        <v>763</v>
      </c>
      <c r="C336" s="87" t="s">
        <v>12</v>
      </c>
      <c r="D336" s="5" t="s">
        <v>13</v>
      </c>
      <c r="E336" s="5" t="s">
        <v>14</v>
      </c>
      <c r="F336" s="43" t="s">
        <v>437</v>
      </c>
      <c r="G336" s="41" t="s">
        <v>15</v>
      </c>
      <c r="H336" s="5" t="s">
        <v>26</v>
      </c>
      <c r="I336" s="87" t="s">
        <v>438</v>
      </c>
      <c r="J336" s="5" t="s">
        <v>31</v>
      </c>
      <c r="K336" s="44"/>
      <c r="M336" s="44"/>
    </row>
    <row r="337" spans="1:15" s="5" customFormat="1" x14ac:dyDescent="0.25">
      <c r="A337" s="39">
        <f t="shared" si="5"/>
        <v>336</v>
      </c>
      <c r="B337" s="35" t="s">
        <v>763</v>
      </c>
      <c r="C337" s="87" t="s">
        <v>12</v>
      </c>
      <c r="D337" s="5" t="s">
        <v>13</v>
      </c>
      <c r="E337" s="5" t="s">
        <v>14</v>
      </c>
      <c r="F337" s="43" t="s">
        <v>437</v>
      </c>
      <c r="G337" s="41" t="s">
        <v>15</v>
      </c>
      <c r="H337" s="5" t="s">
        <v>16</v>
      </c>
      <c r="I337" s="87"/>
      <c r="J337" s="5" t="s">
        <v>434</v>
      </c>
      <c r="K337" s="172" t="s">
        <v>202</v>
      </c>
      <c r="L337" s="5" t="s">
        <v>47</v>
      </c>
      <c r="M337" s="44" t="s">
        <v>268</v>
      </c>
    </row>
    <row r="338" spans="1:15" s="5" customFormat="1" x14ac:dyDescent="0.25">
      <c r="A338" s="39">
        <f t="shared" si="5"/>
        <v>337</v>
      </c>
      <c r="B338" s="35" t="s">
        <v>763</v>
      </c>
      <c r="C338" s="87" t="s">
        <v>12</v>
      </c>
      <c r="D338" s="5" t="s">
        <v>177</v>
      </c>
      <c r="E338" s="5" t="s">
        <v>14</v>
      </c>
      <c r="F338" s="41" t="s">
        <v>748</v>
      </c>
      <c r="G338" s="41" t="s">
        <v>98</v>
      </c>
      <c r="H338" s="46" t="s">
        <v>16</v>
      </c>
      <c r="I338" s="87"/>
      <c r="J338" s="5" t="s">
        <v>434</v>
      </c>
      <c r="K338" s="172" t="s">
        <v>61</v>
      </c>
      <c r="L338" s="42" t="s">
        <v>779</v>
      </c>
      <c r="M338" s="172" t="s">
        <v>445</v>
      </c>
    </row>
    <row r="339" spans="1:15" s="5" customFormat="1" x14ac:dyDescent="0.25">
      <c r="A339" s="39">
        <f t="shared" si="5"/>
        <v>338</v>
      </c>
      <c r="B339" s="39" t="s">
        <v>763</v>
      </c>
      <c r="C339" s="87" t="s">
        <v>12</v>
      </c>
      <c r="D339" s="5" t="s">
        <v>177</v>
      </c>
      <c r="E339" s="5" t="s">
        <v>14</v>
      </c>
      <c r="F339" s="177" t="s">
        <v>748</v>
      </c>
      <c r="G339" s="41" t="s">
        <v>98</v>
      </c>
      <c r="H339" s="46" t="s">
        <v>793</v>
      </c>
      <c r="I339" s="87" t="s">
        <v>104</v>
      </c>
      <c r="J339" s="5" t="s">
        <v>434</v>
      </c>
      <c r="K339" s="172"/>
      <c r="M339" s="172"/>
      <c r="O339" s="5" t="s">
        <v>817</v>
      </c>
    </row>
    <row r="340" spans="1:15" s="5" customFormat="1" x14ac:dyDescent="0.25">
      <c r="A340" s="39">
        <f t="shared" si="5"/>
        <v>339</v>
      </c>
      <c r="B340" s="39" t="s">
        <v>763</v>
      </c>
      <c r="C340" s="87" t="s">
        <v>12</v>
      </c>
      <c r="D340" s="5" t="s">
        <v>177</v>
      </c>
      <c r="E340" s="5" t="s">
        <v>14</v>
      </c>
      <c r="F340" s="177" t="s">
        <v>748</v>
      </c>
      <c r="G340" s="41" t="s">
        <v>98</v>
      </c>
      <c r="H340" s="46" t="s">
        <v>233</v>
      </c>
      <c r="I340" s="87" t="s">
        <v>104</v>
      </c>
      <c r="J340" s="5" t="s">
        <v>434</v>
      </c>
      <c r="K340" s="172" t="s">
        <v>786</v>
      </c>
      <c r="L340" s="5" t="s">
        <v>80</v>
      </c>
      <c r="M340" s="172" t="s">
        <v>255</v>
      </c>
    </row>
    <row r="341" spans="1:15" s="5" customFormat="1" x14ac:dyDescent="0.25">
      <c r="A341" s="39">
        <f t="shared" si="5"/>
        <v>340</v>
      </c>
      <c r="B341" s="39" t="s">
        <v>763</v>
      </c>
      <c r="C341" s="87" t="s">
        <v>12</v>
      </c>
      <c r="D341" s="5" t="s">
        <v>177</v>
      </c>
      <c r="E341" s="5" t="s">
        <v>14</v>
      </c>
      <c r="F341" s="41" t="s">
        <v>748</v>
      </c>
      <c r="G341" s="41" t="s">
        <v>98</v>
      </c>
      <c r="H341" s="41" t="s">
        <v>16</v>
      </c>
      <c r="I341" s="87" t="s">
        <v>447</v>
      </c>
      <c r="J341" s="5" t="s">
        <v>434</v>
      </c>
      <c r="K341" s="172" t="s">
        <v>785</v>
      </c>
      <c r="L341" s="5" t="s">
        <v>80</v>
      </c>
      <c r="M341" s="44" t="s">
        <v>448</v>
      </c>
    </row>
    <row r="342" spans="1:15" s="5" customFormat="1" x14ac:dyDescent="0.25">
      <c r="A342" s="39">
        <f t="shared" si="5"/>
        <v>341</v>
      </c>
      <c r="B342" s="39" t="s">
        <v>763</v>
      </c>
      <c r="C342" s="87" t="s">
        <v>12</v>
      </c>
      <c r="D342" s="5" t="s">
        <v>177</v>
      </c>
      <c r="E342" s="5" t="s">
        <v>14</v>
      </c>
      <c r="F342" s="41" t="s">
        <v>748</v>
      </c>
      <c r="G342" s="41" t="s">
        <v>98</v>
      </c>
      <c r="H342" s="41" t="s">
        <v>16</v>
      </c>
      <c r="I342" s="87" t="s">
        <v>104</v>
      </c>
      <c r="J342" s="5" t="s">
        <v>434</v>
      </c>
      <c r="K342" s="172" t="s">
        <v>782</v>
      </c>
      <c r="L342" s="5" t="s">
        <v>80</v>
      </c>
      <c r="M342" s="44" t="s">
        <v>448</v>
      </c>
    </row>
    <row r="343" spans="1:15" s="5" customFormat="1" x14ac:dyDescent="0.25">
      <c r="A343" s="39">
        <f t="shared" si="5"/>
        <v>342</v>
      </c>
      <c r="B343" s="39" t="s">
        <v>763</v>
      </c>
      <c r="C343" s="87" t="s">
        <v>12</v>
      </c>
      <c r="D343" s="5" t="s">
        <v>177</v>
      </c>
      <c r="E343" s="5" t="s">
        <v>14</v>
      </c>
      <c r="F343" s="177" t="s">
        <v>749</v>
      </c>
      <c r="G343" s="41" t="s">
        <v>98</v>
      </c>
      <c r="H343" s="46" t="s">
        <v>233</v>
      </c>
      <c r="I343" s="87" t="s">
        <v>22</v>
      </c>
      <c r="J343" s="5" t="s">
        <v>86</v>
      </c>
      <c r="K343" s="172" t="s">
        <v>786</v>
      </c>
      <c r="L343" s="5" t="s">
        <v>80</v>
      </c>
      <c r="M343" s="44" t="s">
        <v>81</v>
      </c>
    </row>
    <row r="344" spans="1:15" s="5" customFormat="1" x14ac:dyDescent="0.25">
      <c r="A344" s="39">
        <f t="shared" si="5"/>
        <v>343</v>
      </c>
      <c r="B344" s="39" t="s">
        <v>763</v>
      </c>
      <c r="C344" s="87" t="s">
        <v>12</v>
      </c>
      <c r="D344" s="5" t="s">
        <v>177</v>
      </c>
      <c r="E344" s="5" t="s">
        <v>14</v>
      </c>
      <c r="F344" s="41" t="s">
        <v>749</v>
      </c>
      <c r="G344" s="41" t="s">
        <v>98</v>
      </c>
      <c r="H344" s="41" t="s">
        <v>16</v>
      </c>
      <c r="I344" s="87"/>
      <c r="J344" s="5" t="s">
        <v>434</v>
      </c>
      <c r="K344" s="172" t="s">
        <v>786</v>
      </c>
      <c r="L344" s="5" t="s">
        <v>80</v>
      </c>
      <c r="M344" s="44" t="s">
        <v>81</v>
      </c>
    </row>
    <row r="345" spans="1:15" s="5" customFormat="1" x14ac:dyDescent="0.25">
      <c r="A345" s="39">
        <f t="shared" si="5"/>
        <v>344</v>
      </c>
      <c r="B345" s="39" t="s">
        <v>763</v>
      </c>
      <c r="C345" s="87" t="s">
        <v>12</v>
      </c>
      <c r="D345" s="5" t="s">
        <v>177</v>
      </c>
      <c r="E345" s="5" t="s">
        <v>14</v>
      </c>
      <c r="F345" s="41" t="s">
        <v>749</v>
      </c>
      <c r="G345" s="41" t="s">
        <v>98</v>
      </c>
      <c r="H345" s="41" t="s">
        <v>16</v>
      </c>
      <c r="I345" s="87"/>
      <c r="J345" s="44" t="s">
        <v>434</v>
      </c>
      <c r="K345" s="172" t="s">
        <v>18</v>
      </c>
      <c r="L345" s="42" t="s">
        <v>125</v>
      </c>
      <c r="M345" s="172" t="s">
        <v>449</v>
      </c>
    </row>
    <row r="346" spans="1:15" s="5" customFormat="1" x14ac:dyDescent="0.25">
      <c r="A346" s="39">
        <f t="shared" si="5"/>
        <v>345</v>
      </c>
      <c r="B346" s="39" t="s">
        <v>763</v>
      </c>
      <c r="C346" s="87" t="s">
        <v>12</v>
      </c>
      <c r="D346" s="5" t="s">
        <v>177</v>
      </c>
      <c r="E346" s="5" t="s">
        <v>14</v>
      </c>
      <c r="F346" s="41" t="s">
        <v>749</v>
      </c>
      <c r="G346" s="41" t="s">
        <v>98</v>
      </c>
      <c r="H346" s="41" t="s">
        <v>16</v>
      </c>
      <c r="I346" s="87"/>
      <c r="J346" s="5" t="s">
        <v>434</v>
      </c>
      <c r="K346" s="44" t="s">
        <v>785</v>
      </c>
      <c r="L346" s="5" t="s">
        <v>80</v>
      </c>
      <c r="M346" s="44" t="s">
        <v>81</v>
      </c>
    </row>
    <row r="347" spans="1:15" s="5" customFormat="1" x14ac:dyDescent="0.25">
      <c r="A347" s="39">
        <f t="shared" si="5"/>
        <v>346</v>
      </c>
      <c r="B347" s="39" t="s">
        <v>763</v>
      </c>
      <c r="C347" s="87" t="s">
        <v>12</v>
      </c>
      <c r="D347" s="5" t="s">
        <v>177</v>
      </c>
      <c r="E347" s="5" t="s">
        <v>14</v>
      </c>
      <c r="F347" s="177" t="s">
        <v>750</v>
      </c>
      <c r="G347" s="41" t="s">
        <v>450</v>
      </c>
      <c r="H347" s="46" t="s">
        <v>233</v>
      </c>
      <c r="I347" s="87" t="s">
        <v>22</v>
      </c>
      <c r="J347" s="44" t="s">
        <v>434</v>
      </c>
      <c r="K347" s="172" t="s">
        <v>18</v>
      </c>
      <c r="L347" s="42" t="s">
        <v>125</v>
      </c>
      <c r="M347" s="44" t="s">
        <v>48</v>
      </c>
    </row>
    <row r="348" spans="1:15" s="177" customFormat="1" x14ac:dyDescent="0.25">
      <c r="A348" s="176">
        <f t="shared" si="5"/>
        <v>347</v>
      </c>
      <c r="B348" s="39" t="s">
        <v>763</v>
      </c>
      <c r="C348" s="178" t="s">
        <v>12</v>
      </c>
      <c r="D348" s="177" t="s">
        <v>177</v>
      </c>
      <c r="E348" s="177" t="s">
        <v>14</v>
      </c>
      <c r="F348" s="177" t="s">
        <v>750</v>
      </c>
      <c r="G348" s="41" t="s">
        <v>96</v>
      </c>
      <c r="H348" s="41" t="s">
        <v>16</v>
      </c>
      <c r="I348" s="178"/>
      <c r="J348" s="177" t="s">
        <v>71</v>
      </c>
      <c r="K348" s="179" t="s">
        <v>58</v>
      </c>
      <c r="L348" s="180" t="s">
        <v>47</v>
      </c>
      <c r="M348" s="179" t="s">
        <v>451</v>
      </c>
    </row>
    <row r="349" spans="1:15" s="5" customFormat="1" x14ac:dyDescent="0.25">
      <c r="A349" s="39">
        <f t="shared" si="5"/>
        <v>348</v>
      </c>
      <c r="B349" s="39" t="s">
        <v>763</v>
      </c>
      <c r="C349" s="87" t="s">
        <v>12</v>
      </c>
      <c r="D349" s="5" t="s">
        <v>177</v>
      </c>
      <c r="E349" s="5" t="s">
        <v>14</v>
      </c>
      <c r="F349" s="41" t="s">
        <v>750</v>
      </c>
      <c r="G349" s="41" t="s">
        <v>450</v>
      </c>
      <c r="H349" s="41" t="s">
        <v>16</v>
      </c>
      <c r="I349" s="87"/>
      <c r="J349" s="5" t="s">
        <v>434</v>
      </c>
      <c r="K349" s="172" t="s">
        <v>58</v>
      </c>
      <c r="L349" s="42" t="s">
        <v>47</v>
      </c>
      <c r="M349" s="172" t="s">
        <v>452</v>
      </c>
    </row>
    <row r="350" spans="1:15" s="5" customFormat="1" x14ac:dyDescent="0.25">
      <c r="A350" s="39">
        <f t="shared" si="5"/>
        <v>349</v>
      </c>
      <c r="B350" s="39" t="s">
        <v>763</v>
      </c>
      <c r="C350" s="87" t="s">
        <v>12</v>
      </c>
      <c r="D350" s="5" t="s">
        <v>177</v>
      </c>
      <c r="E350" s="5" t="s">
        <v>14</v>
      </c>
      <c r="F350" s="41" t="s">
        <v>750</v>
      </c>
      <c r="G350" s="41" t="s">
        <v>450</v>
      </c>
      <c r="H350" s="41" t="s">
        <v>16</v>
      </c>
      <c r="I350" s="87"/>
      <c r="J350" s="5" t="s">
        <v>434</v>
      </c>
      <c r="K350" s="44" t="s">
        <v>453</v>
      </c>
      <c r="L350" s="42" t="s">
        <v>125</v>
      </c>
      <c r="M350" s="44" t="s">
        <v>454</v>
      </c>
    </row>
    <row r="351" spans="1:15" s="5" customFormat="1" x14ac:dyDescent="0.25">
      <c r="A351" s="39">
        <f t="shared" si="5"/>
        <v>350</v>
      </c>
      <c r="B351" s="39" t="s">
        <v>763</v>
      </c>
      <c r="C351" s="87" t="s">
        <v>12</v>
      </c>
      <c r="D351" s="5" t="s">
        <v>177</v>
      </c>
      <c r="E351" s="5" t="s">
        <v>14</v>
      </c>
      <c r="F351" s="41" t="s">
        <v>750</v>
      </c>
      <c r="G351" s="41" t="s">
        <v>450</v>
      </c>
      <c r="H351" s="41" t="s">
        <v>16</v>
      </c>
      <c r="I351" s="87"/>
      <c r="J351" s="5" t="s">
        <v>434</v>
      </c>
      <c r="K351" s="172" t="s">
        <v>61</v>
      </c>
      <c r="L351" s="42" t="s">
        <v>779</v>
      </c>
      <c r="M351" s="44" t="s">
        <v>217</v>
      </c>
    </row>
    <row r="352" spans="1:15" s="5" customFormat="1" x14ac:dyDescent="0.25">
      <c r="A352" s="39">
        <f t="shared" si="5"/>
        <v>351</v>
      </c>
      <c r="B352" s="39" t="s">
        <v>763</v>
      </c>
      <c r="C352" s="87" t="s">
        <v>12</v>
      </c>
      <c r="D352" s="5" t="s">
        <v>177</v>
      </c>
      <c r="E352" s="5" t="s">
        <v>14</v>
      </c>
      <c r="F352" s="41" t="s">
        <v>750</v>
      </c>
      <c r="G352" s="41" t="s">
        <v>450</v>
      </c>
      <c r="H352" s="41" t="s">
        <v>16</v>
      </c>
      <c r="I352" s="87"/>
      <c r="J352" s="44" t="s">
        <v>434</v>
      </c>
      <c r="K352" s="172" t="s">
        <v>18</v>
      </c>
      <c r="L352" s="42" t="s">
        <v>125</v>
      </c>
      <c r="M352" s="44" t="s">
        <v>268</v>
      </c>
    </row>
    <row r="353" spans="1:13" s="5" customFormat="1" x14ac:dyDescent="0.25">
      <c r="A353" s="39">
        <f t="shared" ref="A353:A416" si="6">A352+1</f>
        <v>352</v>
      </c>
      <c r="B353" s="39" t="s">
        <v>763</v>
      </c>
      <c r="C353" s="87" t="s">
        <v>12</v>
      </c>
      <c r="D353" s="5" t="s">
        <v>177</v>
      </c>
      <c r="E353" s="5" t="s">
        <v>14</v>
      </c>
      <c r="F353" s="41" t="s">
        <v>750</v>
      </c>
      <c r="G353" s="41" t="s">
        <v>450</v>
      </c>
      <c r="H353" s="41" t="s">
        <v>16</v>
      </c>
      <c r="I353" s="87"/>
      <c r="J353" s="5" t="s">
        <v>434</v>
      </c>
      <c r="K353" s="172" t="s">
        <v>784</v>
      </c>
      <c r="L353" s="5" t="s">
        <v>80</v>
      </c>
      <c r="M353" s="44" t="s">
        <v>81</v>
      </c>
    </row>
    <row r="354" spans="1:13" s="5" customFormat="1" x14ac:dyDescent="0.25">
      <c r="A354" s="39">
        <f t="shared" si="6"/>
        <v>353</v>
      </c>
      <c r="B354" s="39" t="s">
        <v>763</v>
      </c>
      <c r="C354" s="87" t="s">
        <v>12</v>
      </c>
      <c r="D354" s="5" t="s">
        <v>177</v>
      </c>
      <c r="E354" s="5" t="s">
        <v>14</v>
      </c>
      <c r="F354" s="41" t="s">
        <v>750</v>
      </c>
      <c r="G354" s="41" t="s">
        <v>450</v>
      </c>
      <c r="H354" s="41" t="s">
        <v>16</v>
      </c>
      <c r="I354" s="87"/>
      <c r="J354" s="5" t="s">
        <v>434</v>
      </c>
      <c r="K354" s="44" t="s">
        <v>455</v>
      </c>
      <c r="L354" s="174" t="s">
        <v>842</v>
      </c>
      <c r="M354" s="44" t="s">
        <v>456</v>
      </c>
    </row>
    <row r="355" spans="1:13" s="5" customFormat="1" x14ac:dyDescent="0.25">
      <c r="A355" s="39">
        <f t="shared" si="6"/>
        <v>354</v>
      </c>
      <c r="B355" s="39" t="s">
        <v>763</v>
      </c>
      <c r="C355" s="87" t="s">
        <v>12</v>
      </c>
      <c r="D355" s="5" t="s">
        <v>177</v>
      </c>
      <c r="E355" s="5" t="s">
        <v>14</v>
      </c>
      <c r="F355" s="41" t="s">
        <v>750</v>
      </c>
      <c r="G355" s="41" t="s">
        <v>450</v>
      </c>
      <c r="H355" s="41" t="s">
        <v>16</v>
      </c>
      <c r="I355" s="87"/>
      <c r="J355" s="5" t="s">
        <v>434</v>
      </c>
      <c r="K355" s="172" t="s">
        <v>202</v>
      </c>
      <c r="L355" s="42" t="s">
        <v>47</v>
      </c>
      <c r="M355" s="44" t="s">
        <v>457</v>
      </c>
    </row>
    <row r="356" spans="1:13" s="5" customFormat="1" x14ac:dyDescent="0.25">
      <c r="A356" s="39">
        <f t="shared" si="6"/>
        <v>355</v>
      </c>
      <c r="B356" s="39" t="s">
        <v>763</v>
      </c>
      <c r="C356" s="87" t="s">
        <v>12</v>
      </c>
      <c r="D356" s="5" t="s">
        <v>177</v>
      </c>
      <c r="E356" s="5" t="s">
        <v>14</v>
      </c>
      <c r="F356" s="41" t="s">
        <v>750</v>
      </c>
      <c r="G356" s="41" t="s">
        <v>450</v>
      </c>
      <c r="H356" s="41" t="s">
        <v>16</v>
      </c>
      <c r="I356" s="87"/>
      <c r="J356" s="5" t="s">
        <v>434</v>
      </c>
      <c r="K356" s="44" t="s">
        <v>453</v>
      </c>
      <c r="L356" s="42" t="s">
        <v>125</v>
      </c>
      <c r="M356" s="44" t="s">
        <v>217</v>
      </c>
    </row>
    <row r="357" spans="1:13" s="5" customFormat="1" x14ac:dyDescent="0.25">
      <c r="A357" s="39">
        <f t="shared" si="6"/>
        <v>356</v>
      </c>
      <c r="B357" s="39" t="s">
        <v>763</v>
      </c>
      <c r="C357" s="87" t="s">
        <v>12</v>
      </c>
      <c r="D357" s="5" t="s">
        <v>177</v>
      </c>
      <c r="E357" s="5" t="s">
        <v>14</v>
      </c>
      <c r="F357" s="43" t="s">
        <v>751</v>
      </c>
      <c r="G357" s="41" t="s">
        <v>96</v>
      </c>
      <c r="H357" s="41" t="s">
        <v>16</v>
      </c>
      <c r="I357" s="87"/>
      <c r="J357" s="44" t="s">
        <v>434</v>
      </c>
      <c r="K357" s="172" t="s">
        <v>18</v>
      </c>
      <c r="L357" s="42" t="s">
        <v>125</v>
      </c>
      <c r="M357" s="44" t="s">
        <v>458</v>
      </c>
    </row>
    <row r="358" spans="1:13" s="5" customFormat="1" x14ac:dyDescent="0.25">
      <c r="A358" s="39">
        <f t="shared" si="6"/>
        <v>357</v>
      </c>
      <c r="B358" s="39" t="s">
        <v>763</v>
      </c>
      <c r="C358" s="87" t="s">
        <v>12</v>
      </c>
      <c r="D358" s="5" t="s">
        <v>177</v>
      </c>
      <c r="E358" s="5" t="s">
        <v>14</v>
      </c>
      <c r="F358" s="43" t="s">
        <v>751</v>
      </c>
      <c r="G358" s="41" t="s">
        <v>450</v>
      </c>
      <c r="H358" s="41" t="s">
        <v>16</v>
      </c>
      <c r="I358" s="87" t="s">
        <v>180</v>
      </c>
      <c r="J358" s="5" t="s">
        <v>17</v>
      </c>
      <c r="K358" s="172" t="s">
        <v>202</v>
      </c>
      <c r="L358" s="5" t="s">
        <v>47</v>
      </c>
      <c r="M358" s="44" t="s">
        <v>459</v>
      </c>
    </row>
    <row r="359" spans="1:13" s="5" customFormat="1" x14ac:dyDescent="0.25">
      <c r="A359" s="39">
        <f t="shared" si="6"/>
        <v>358</v>
      </c>
      <c r="B359" s="39" t="s">
        <v>763</v>
      </c>
      <c r="C359" s="87" t="s">
        <v>12</v>
      </c>
      <c r="D359" s="5" t="s">
        <v>177</v>
      </c>
      <c r="E359" s="5" t="s">
        <v>14</v>
      </c>
      <c r="F359" s="43" t="s">
        <v>751</v>
      </c>
      <c r="G359" s="41" t="s">
        <v>96</v>
      </c>
      <c r="H359" s="41" t="s">
        <v>16</v>
      </c>
      <c r="I359" s="87"/>
      <c r="J359" s="44" t="s">
        <v>434</v>
      </c>
      <c r="K359" s="172" t="s">
        <v>18</v>
      </c>
      <c r="L359" s="42" t="s">
        <v>125</v>
      </c>
      <c r="M359" s="44" t="s">
        <v>460</v>
      </c>
    </row>
    <row r="360" spans="1:13" s="5" customFormat="1" x14ac:dyDescent="0.25">
      <c r="A360" s="39">
        <f t="shared" si="6"/>
        <v>359</v>
      </c>
      <c r="B360" s="39" t="s">
        <v>763</v>
      </c>
      <c r="C360" s="87" t="s">
        <v>12</v>
      </c>
      <c r="D360" s="5" t="s">
        <v>177</v>
      </c>
      <c r="E360" s="5" t="s">
        <v>14</v>
      </c>
      <c r="F360" s="43" t="s">
        <v>751</v>
      </c>
      <c r="G360" s="41" t="s">
        <v>450</v>
      </c>
      <c r="H360" s="41" t="s">
        <v>16</v>
      </c>
      <c r="I360" s="87"/>
      <c r="J360" s="44" t="s">
        <v>434</v>
      </c>
      <c r="K360" s="172" t="s">
        <v>18</v>
      </c>
      <c r="L360" s="42" t="s">
        <v>125</v>
      </c>
      <c r="M360" s="44" t="s">
        <v>241</v>
      </c>
    </row>
    <row r="361" spans="1:13" s="5" customFormat="1" x14ac:dyDescent="0.25">
      <c r="A361" s="39">
        <f t="shared" si="6"/>
        <v>360</v>
      </c>
      <c r="B361" s="39" t="s">
        <v>763</v>
      </c>
      <c r="C361" s="87" t="s">
        <v>12</v>
      </c>
      <c r="D361" s="5" t="s">
        <v>177</v>
      </c>
      <c r="E361" s="5" t="s">
        <v>14</v>
      </c>
      <c r="F361" s="43" t="s">
        <v>751</v>
      </c>
      <c r="G361" s="41" t="s">
        <v>450</v>
      </c>
      <c r="H361" s="41" t="s">
        <v>16</v>
      </c>
      <c r="I361" s="87"/>
      <c r="J361" s="5" t="s">
        <v>131</v>
      </c>
      <c r="K361" s="44" t="s">
        <v>785</v>
      </c>
      <c r="L361" s="5" t="s">
        <v>80</v>
      </c>
      <c r="M361" s="44" t="s">
        <v>461</v>
      </c>
    </row>
    <row r="362" spans="1:13" s="5" customFormat="1" x14ac:dyDescent="0.25">
      <c r="A362" s="39">
        <f t="shared" si="6"/>
        <v>361</v>
      </c>
      <c r="B362" s="39" t="s">
        <v>763</v>
      </c>
      <c r="C362" s="87" t="s">
        <v>12</v>
      </c>
      <c r="D362" s="5" t="s">
        <v>177</v>
      </c>
      <c r="E362" s="5" t="s">
        <v>14</v>
      </c>
      <c r="F362" s="43" t="s">
        <v>751</v>
      </c>
      <c r="G362" s="41" t="s">
        <v>450</v>
      </c>
      <c r="H362" s="41" t="s">
        <v>16</v>
      </c>
      <c r="I362" s="87"/>
      <c r="J362" s="44" t="s">
        <v>434</v>
      </c>
      <c r="K362" s="172" t="s">
        <v>18</v>
      </c>
      <c r="L362" s="42" t="s">
        <v>125</v>
      </c>
      <c r="M362" s="44" t="s">
        <v>457</v>
      </c>
    </row>
    <row r="363" spans="1:13" s="5" customFormat="1" x14ac:dyDescent="0.25">
      <c r="A363" s="39">
        <f t="shared" si="6"/>
        <v>362</v>
      </c>
      <c r="B363" s="39" t="s">
        <v>763</v>
      </c>
      <c r="C363" s="87" t="s">
        <v>12</v>
      </c>
      <c r="D363" s="5" t="s">
        <v>177</v>
      </c>
      <c r="E363" s="5" t="s">
        <v>14</v>
      </c>
      <c r="F363" s="43" t="s">
        <v>751</v>
      </c>
      <c r="G363" s="41" t="s">
        <v>450</v>
      </c>
      <c r="H363" s="41" t="s">
        <v>16</v>
      </c>
      <c r="I363" s="87"/>
      <c r="J363" s="5" t="s">
        <v>71</v>
      </c>
      <c r="K363" s="172" t="s">
        <v>462</v>
      </c>
      <c r="L363" s="42" t="s">
        <v>114</v>
      </c>
      <c r="M363" s="44" t="s">
        <v>463</v>
      </c>
    </row>
    <row r="364" spans="1:13" s="5" customFormat="1" x14ac:dyDescent="0.25">
      <c r="A364" s="39">
        <f t="shared" si="6"/>
        <v>363</v>
      </c>
      <c r="B364" s="39" t="s">
        <v>763</v>
      </c>
      <c r="C364" s="87" t="s">
        <v>12</v>
      </c>
      <c r="D364" s="5" t="s">
        <v>177</v>
      </c>
      <c r="E364" s="5" t="s">
        <v>14</v>
      </c>
      <c r="F364" s="43" t="s">
        <v>751</v>
      </c>
      <c r="G364" s="41" t="s">
        <v>450</v>
      </c>
      <c r="H364" s="41" t="s">
        <v>16</v>
      </c>
      <c r="I364" s="87"/>
      <c r="J364" s="44" t="s">
        <v>434</v>
      </c>
      <c r="K364" s="172" t="s">
        <v>18</v>
      </c>
      <c r="L364" s="42" t="s">
        <v>125</v>
      </c>
      <c r="M364" s="44" t="s">
        <v>464</v>
      </c>
    </row>
    <row r="365" spans="1:13" s="5" customFormat="1" x14ac:dyDescent="0.25">
      <c r="A365" s="39">
        <f t="shared" si="6"/>
        <v>364</v>
      </c>
      <c r="B365" s="39" t="s">
        <v>763</v>
      </c>
      <c r="C365" s="87" t="s">
        <v>12</v>
      </c>
      <c r="D365" s="5" t="s">
        <v>177</v>
      </c>
      <c r="E365" s="5" t="s">
        <v>14</v>
      </c>
      <c r="F365" s="43" t="s">
        <v>751</v>
      </c>
      <c r="G365" s="41" t="s">
        <v>450</v>
      </c>
      <c r="H365" s="41" t="s">
        <v>16</v>
      </c>
      <c r="I365" s="87"/>
      <c r="J365" s="5" t="s">
        <v>434</v>
      </c>
      <c r="K365" s="172" t="s">
        <v>58</v>
      </c>
      <c r="L365" s="5" t="s">
        <v>47</v>
      </c>
      <c r="M365" s="44" t="s">
        <v>465</v>
      </c>
    </row>
    <row r="366" spans="1:13" s="5" customFormat="1" x14ac:dyDescent="0.25">
      <c r="A366" s="39">
        <f t="shared" si="6"/>
        <v>365</v>
      </c>
      <c r="B366" s="51" t="s">
        <v>764</v>
      </c>
      <c r="C366" s="87" t="s">
        <v>12</v>
      </c>
      <c r="D366" s="5" t="s">
        <v>13</v>
      </c>
      <c r="E366" s="5" t="s">
        <v>14</v>
      </c>
      <c r="F366" s="5" t="s">
        <v>466</v>
      </c>
      <c r="G366" s="41" t="s">
        <v>15</v>
      </c>
      <c r="H366" s="52" t="s">
        <v>16</v>
      </c>
      <c r="I366" s="87"/>
      <c r="J366" s="5" t="s">
        <v>17</v>
      </c>
      <c r="K366" s="44" t="s">
        <v>467</v>
      </c>
      <c r="L366" s="44" t="s">
        <v>114</v>
      </c>
      <c r="M366" s="91" t="s">
        <v>468</v>
      </c>
    </row>
    <row r="367" spans="1:13" s="5" customFormat="1" ht="30" x14ac:dyDescent="0.25">
      <c r="A367" s="39">
        <f t="shared" si="6"/>
        <v>366</v>
      </c>
      <c r="B367" s="51" t="s">
        <v>764</v>
      </c>
      <c r="C367" s="87" t="s">
        <v>12</v>
      </c>
      <c r="D367" s="5" t="s">
        <v>13</v>
      </c>
      <c r="E367" s="5" t="s">
        <v>14</v>
      </c>
      <c r="F367" s="5" t="s">
        <v>466</v>
      </c>
      <c r="G367" s="41" t="s">
        <v>15</v>
      </c>
      <c r="H367" s="52" t="s">
        <v>30</v>
      </c>
      <c r="I367" s="87" t="s">
        <v>22</v>
      </c>
      <c r="J367" s="7"/>
      <c r="K367" s="91" t="s">
        <v>469</v>
      </c>
      <c r="L367" s="44" t="s">
        <v>799</v>
      </c>
      <c r="M367" s="91" t="s">
        <v>470</v>
      </c>
    </row>
    <row r="368" spans="1:13" s="5" customFormat="1" x14ac:dyDescent="0.25">
      <c r="A368" s="192">
        <f t="shared" si="6"/>
        <v>367</v>
      </c>
      <c r="B368" s="202" t="s">
        <v>764</v>
      </c>
      <c r="C368" s="194" t="s">
        <v>12</v>
      </c>
      <c r="D368" s="193" t="s">
        <v>13</v>
      </c>
      <c r="E368" s="193" t="s">
        <v>14</v>
      </c>
      <c r="F368" s="193" t="s">
        <v>466</v>
      </c>
      <c r="G368" s="197" t="s">
        <v>15</v>
      </c>
      <c r="H368" s="197" t="s">
        <v>67</v>
      </c>
      <c r="I368" s="87"/>
      <c r="K368" s="44"/>
      <c r="L368" s="44"/>
      <c r="M368" s="44"/>
    </row>
    <row r="369" spans="1:13" s="5" customFormat="1" x14ac:dyDescent="0.25">
      <c r="A369" s="39">
        <f t="shared" si="6"/>
        <v>368</v>
      </c>
      <c r="B369" s="51" t="s">
        <v>764</v>
      </c>
      <c r="C369" s="87" t="s">
        <v>12</v>
      </c>
      <c r="D369" s="5" t="s">
        <v>13</v>
      </c>
      <c r="E369" s="5" t="s">
        <v>14</v>
      </c>
      <c r="F369" s="5" t="s">
        <v>466</v>
      </c>
      <c r="G369" s="41" t="s">
        <v>15</v>
      </c>
      <c r="H369" s="52" t="s">
        <v>30</v>
      </c>
      <c r="I369" s="87" t="s">
        <v>156</v>
      </c>
      <c r="J369" s="5" t="s">
        <v>17</v>
      </c>
      <c r="K369" s="91" t="s">
        <v>471</v>
      </c>
      <c r="L369" s="44" t="s">
        <v>114</v>
      </c>
      <c r="M369" s="44" t="s">
        <v>472</v>
      </c>
    </row>
    <row r="370" spans="1:13" s="5" customFormat="1" x14ac:dyDescent="0.25">
      <c r="A370" s="39">
        <f t="shared" si="6"/>
        <v>369</v>
      </c>
      <c r="B370" s="51" t="s">
        <v>764</v>
      </c>
      <c r="C370" s="87" t="s">
        <v>12</v>
      </c>
      <c r="D370" s="5" t="s">
        <v>13</v>
      </c>
      <c r="E370" s="5" t="s">
        <v>14</v>
      </c>
      <c r="F370" s="5" t="s">
        <v>466</v>
      </c>
      <c r="G370" s="41" t="s">
        <v>98</v>
      </c>
      <c r="H370" s="52" t="s">
        <v>30</v>
      </c>
      <c r="I370" s="87" t="s">
        <v>22</v>
      </c>
      <c r="J370" s="5" t="s">
        <v>17</v>
      </c>
      <c r="K370" s="172" t="s">
        <v>61</v>
      </c>
      <c r="L370" s="42" t="s">
        <v>779</v>
      </c>
      <c r="M370" s="172" t="s">
        <v>448</v>
      </c>
    </row>
    <row r="371" spans="1:13" s="5" customFormat="1" x14ac:dyDescent="0.25">
      <c r="A371" s="39">
        <f t="shared" si="6"/>
        <v>370</v>
      </c>
      <c r="B371" s="51" t="s">
        <v>764</v>
      </c>
      <c r="C371" s="87" t="s">
        <v>12</v>
      </c>
      <c r="D371" s="5" t="s">
        <v>13</v>
      </c>
      <c r="E371" s="5" t="s">
        <v>14</v>
      </c>
      <c r="F371" s="5" t="s">
        <v>466</v>
      </c>
      <c r="G371" s="41" t="s">
        <v>15</v>
      </c>
      <c r="H371" s="52" t="s">
        <v>30</v>
      </c>
      <c r="I371" s="87" t="s">
        <v>104</v>
      </c>
      <c r="J371" s="5" t="s">
        <v>17</v>
      </c>
      <c r="K371" s="44" t="s">
        <v>473</v>
      </c>
      <c r="L371" s="44"/>
      <c r="M371" s="44" t="s">
        <v>214</v>
      </c>
    </row>
    <row r="372" spans="1:13" s="5" customFormat="1" x14ac:dyDescent="0.25">
      <c r="A372" s="39">
        <f t="shared" si="6"/>
        <v>371</v>
      </c>
      <c r="B372" s="90" t="s">
        <v>764</v>
      </c>
      <c r="C372" s="87" t="s">
        <v>12</v>
      </c>
      <c r="D372" s="5" t="s">
        <v>13</v>
      </c>
      <c r="E372" s="5" t="s">
        <v>14</v>
      </c>
      <c r="F372" s="5" t="s">
        <v>466</v>
      </c>
      <c r="G372" s="41" t="s">
        <v>15</v>
      </c>
      <c r="H372" s="52" t="s">
        <v>30</v>
      </c>
      <c r="I372" s="87" t="s">
        <v>104</v>
      </c>
      <c r="J372" s="5" t="s">
        <v>273</v>
      </c>
      <c r="K372" s="172" t="s">
        <v>474</v>
      </c>
      <c r="L372" s="91"/>
      <c r="M372" s="172" t="s">
        <v>81</v>
      </c>
    </row>
    <row r="373" spans="1:13" s="5" customFormat="1" x14ac:dyDescent="0.25">
      <c r="A373" s="39">
        <f t="shared" si="6"/>
        <v>372</v>
      </c>
      <c r="B373" s="51" t="s">
        <v>764</v>
      </c>
      <c r="C373" s="87" t="s">
        <v>12</v>
      </c>
      <c r="D373" s="5" t="s">
        <v>13</v>
      </c>
      <c r="E373" s="5" t="s">
        <v>14</v>
      </c>
      <c r="F373" s="5" t="s">
        <v>466</v>
      </c>
      <c r="G373" s="41" t="s">
        <v>15</v>
      </c>
      <c r="H373" s="41" t="s">
        <v>26</v>
      </c>
      <c r="I373" s="87" t="s">
        <v>171</v>
      </c>
      <c r="K373" s="44"/>
      <c r="L373" s="44"/>
      <c r="M373" s="44"/>
    </row>
    <row r="374" spans="1:13" s="5" customFormat="1" x14ac:dyDescent="0.25">
      <c r="A374" s="39">
        <f t="shared" si="6"/>
        <v>373</v>
      </c>
      <c r="B374" s="51" t="s">
        <v>764</v>
      </c>
      <c r="C374" s="87" t="s">
        <v>12</v>
      </c>
      <c r="D374" s="5" t="s">
        <v>13</v>
      </c>
      <c r="E374" s="5" t="s">
        <v>14</v>
      </c>
      <c r="F374" s="5" t="s">
        <v>466</v>
      </c>
      <c r="G374" s="41" t="s">
        <v>15</v>
      </c>
      <c r="H374" s="52" t="s">
        <v>26</v>
      </c>
      <c r="I374" s="87" t="s">
        <v>22</v>
      </c>
      <c r="K374" s="44"/>
      <c r="L374" s="44"/>
      <c r="M374" s="44"/>
    </row>
    <row r="375" spans="1:13" s="5" customFormat="1" x14ac:dyDescent="0.25">
      <c r="A375" s="39">
        <f t="shared" si="6"/>
        <v>374</v>
      </c>
      <c r="B375" s="51" t="s">
        <v>764</v>
      </c>
      <c r="C375" s="87" t="s">
        <v>12</v>
      </c>
      <c r="D375" s="5" t="s">
        <v>13</v>
      </c>
      <c r="E375" s="5" t="s">
        <v>14</v>
      </c>
      <c r="F375" s="5" t="s">
        <v>466</v>
      </c>
      <c r="G375" s="41" t="s">
        <v>15</v>
      </c>
      <c r="H375" s="52" t="s">
        <v>30</v>
      </c>
      <c r="I375" s="87" t="s">
        <v>22</v>
      </c>
      <c r="J375" s="5" t="s">
        <v>17</v>
      </c>
      <c r="K375" s="44" t="s">
        <v>785</v>
      </c>
      <c r="L375" s="5" t="s">
        <v>80</v>
      </c>
      <c r="M375" s="172" t="s">
        <v>81</v>
      </c>
    </row>
    <row r="376" spans="1:13" s="5" customFormat="1" x14ac:dyDescent="0.25">
      <c r="A376" s="39">
        <f t="shared" si="6"/>
        <v>375</v>
      </c>
      <c r="B376" s="51" t="s">
        <v>764</v>
      </c>
      <c r="C376" s="87" t="s">
        <v>12</v>
      </c>
      <c r="D376" s="5" t="s">
        <v>13</v>
      </c>
      <c r="E376" s="5" t="s">
        <v>14</v>
      </c>
      <c r="F376" s="5" t="s">
        <v>466</v>
      </c>
      <c r="G376" s="41" t="s">
        <v>15</v>
      </c>
      <c r="H376" s="52" t="s">
        <v>30</v>
      </c>
      <c r="I376" s="87" t="s">
        <v>22</v>
      </c>
      <c r="J376" s="5" t="s">
        <v>17</v>
      </c>
      <c r="K376" s="44" t="s">
        <v>839</v>
      </c>
      <c r="L376" s="44" t="s">
        <v>114</v>
      </c>
      <c r="M376" s="44" t="s">
        <v>475</v>
      </c>
    </row>
    <row r="377" spans="1:13" s="5" customFormat="1" x14ac:dyDescent="0.25">
      <c r="A377" s="39">
        <f t="shared" si="6"/>
        <v>376</v>
      </c>
      <c r="B377" s="51" t="s">
        <v>764</v>
      </c>
      <c r="C377" s="87" t="s">
        <v>12</v>
      </c>
      <c r="D377" s="5" t="s">
        <v>13</v>
      </c>
      <c r="E377" s="5" t="s">
        <v>14</v>
      </c>
      <c r="F377" s="5" t="s">
        <v>466</v>
      </c>
      <c r="G377" s="41" t="s">
        <v>15</v>
      </c>
      <c r="H377" s="52" t="s">
        <v>30</v>
      </c>
      <c r="I377" s="87" t="s">
        <v>130</v>
      </c>
      <c r="J377" s="5" t="s">
        <v>17</v>
      </c>
      <c r="K377" s="172" t="s">
        <v>61</v>
      </c>
      <c r="L377" s="42" t="s">
        <v>779</v>
      </c>
      <c r="M377" s="172" t="s">
        <v>81</v>
      </c>
    </row>
    <row r="378" spans="1:13" s="5" customFormat="1" x14ac:dyDescent="0.25">
      <c r="A378" s="39">
        <f t="shared" si="6"/>
        <v>377</v>
      </c>
      <c r="B378" s="51" t="s">
        <v>764</v>
      </c>
      <c r="C378" s="87" t="s">
        <v>12</v>
      </c>
      <c r="D378" s="5" t="s">
        <v>13</v>
      </c>
      <c r="E378" s="5" t="s">
        <v>14</v>
      </c>
      <c r="F378" s="5" t="s">
        <v>466</v>
      </c>
      <c r="G378" s="41" t="s">
        <v>15</v>
      </c>
      <c r="H378" s="52" t="s">
        <v>30</v>
      </c>
      <c r="I378" s="87" t="s">
        <v>476</v>
      </c>
      <c r="J378" s="5" t="s">
        <v>477</v>
      </c>
      <c r="K378" s="172" t="s">
        <v>478</v>
      </c>
      <c r="L378" s="91"/>
      <c r="M378" s="172" t="s">
        <v>479</v>
      </c>
    </row>
    <row r="379" spans="1:13" s="5" customFormat="1" x14ac:dyDescent="0.25">
      <c r="A379" s="39">
        <f t="shared" si="6"/>
        <v>378</v>
      </c>
      <c r="B379" s="51" t="s">
        <v>764</v>
      </c>
      <c r="C379" s="87" t="s">
        <v>12</v>
      </c>
      <c r="D379" s="5" t="s">
        <v>13</v>
      </c>
      <c r="E379" s="5" t="s">
        <v>14</v>
      </c>
      <c r="F379" s="5" t="s">
        <v>466</v>
      </c>
      <c r="G379" s="41" t="s">
        <v>15</v>
      </c>
      <c r="H379" s="52" t="s">
        <v>16</v>
      </c>
      <c r="I379" s="87" t="s">
        <v>156</v>
      </c>
      <c r="J379" s="5" t="s">
        <v>131</v>
      </c>
      <c r="K379" s="44" t="s">
        <v>839</v>
      </c>
      <c r="L379" s="44" t="s">
        <v>114</v>
      </c>
      <c r="M379" s="172" t="s">
        <v>448</v>
      </c>
    </row>
    <row r="380" spans="1:13" s="5" customFormat="1" x14ac:dyDescent="0.25">
      <c r="A380" s="39">
        <f t="shared" si="6"/>
        <v>379</v>
      </c>
      <c r="B380" s="51" t="s">
        <v>764</v>
      </c>
      <c r="C380" s="87" t="s">
        <v>12</v>
      </c>
      <c r="D380" s="5" t="s">
        <v>13</v>
      </c>
      <c r="E380" s="5" t="s">
        <v>14</v>
      </c>
      <c r="F380" s="5" t="s">
        <v>466</v>
      </c>
      <c r="G380" s="41" t="s">
        <v>15</v>
      </c>
      <c r="H380" s="52" t="s">
        <v>26</v>
      </c>
      <c r="I380" s="87" t="s">
        <v>480</v>
      </c>
      <c r="K380" s="44"/>
      <c r="L380" s="44"/>
      <c r="M380" s="44"/>
    </row>
    <row r="381" spans="1:13" s="5" customFormat="1" x14ac:dyDescent="0.25">
      <c r="A381" s="39">
        <f t="shared" si="6"/>
        <v>380</v>
      </c>
      <c r="B381" s="51" t="s">
        <v>764</v>
      </c>
      <c r="C381" s="87" t="s">
        <v>12</v>
      </c>
      <c r="D381" s="5" t="s">
        <v>13</v>
      </c>
      <c r="E381" s="5" t="s">
        <v>14</v>
      </c>
      <c r="F381" s="5" t="s">
        <v>466</v>
      </c>
      <c r="G381" s="41" t="s">
        <v>15</v>
      </c>
      <c r="H381" s="52" t="s">
        <v>30</v>
      </c>
      <c r="I381" s="87" t="s">
        <v>130</v>
      </c>
      <c r="J381" s="5" t="s">
        <v>17</v>
      </c>
      <c r="K381" s="44" t="s">
        <v>467</v>
      </c>
      <c r="L381" s="44" t="s">
        <v>114</v>
      </c>
      <c r="M381" s="91" t="s">
        <v>468</v>
      </c>
    </row>
    <row r="382" spans="1:13" s="5" customFormat="1" x14ac:dyDescent="0.25">
      <c r="A382" s="39">
        <f t="shared" si="6"/>
        <v>381</v>
      </c>
      <c r="B382" s="51" t="s">
        <v>764</v>
      </c>
      <c r="C382" s="87" t="s">
        <v>12</v>
      </c>
      <c r="D382" s="5" t="s">
        <v>13</v>
      </c>
      <c r="E382" s="5" t="s">
        <v>14</v>
      </c>
      <c r="F382" s="5" t="s">
        <v>481</v>
      </c>
      <c r="G382" s="41" t="s">
        <v>15</v>
      </c>
      <c r="H382" s="52" t="s">
        <v>26</v>
      </c>
      <c r="I382" s="87" t="s">
        <v>482</v>
      </c>
      <c r="K382" s="44"/>
      <c r="L382" s="44"/>
      <c r="M382" s="44"/>
    </row>
    <row r="383" spans="1:13" s="5" customFormat="1" x14ac:dyDescent="0.25">
      <c r="A383" s="39">
        <f t="shared" si="6"/>
        <v>382</v>
      </c>
      <c r="B383" s="51" t="s">
        <v>764</v>
      </c>
      <c r="C383" s="87" t="s">
        <v>12</v>
      </c>
      <c r="D383" s="5" t="s">
        <v>13</v>
      </c>
      <c r="E383" s="5" t="s">
        <v>14</v>
      </c>
      <c r="F383" s="5" t="s">
        <v>481</v>
      </c>
      <c r="G383" s="41" t="s">
        <v>15</v>
      </c>
      <c r="H383" s="52" t="s">
        <v>26</v>
      </c>
      <c r="I383" s="87" t="s">
        <v>482</v>
      </c>
      <c r="K383" s="44"/>
      <c r="L383" s="44"/>
      <c r="M383" s="44"/>
    </row>
    <row r="384" spans="1:13" s="5" customFormat="1" x14ac:dyDescent="0.25">
      <c r="A384" s="39">
        <f t="shared" si="6"/>
        <v>383</v>
      </c>
      <c r="B384" s="51" t="s">
        <v>764</v>
      </c>
      <c r="C384" s="87" t="s">
        <v>12</v>
      </c>
      <c r="D384" s="5" t="s">
        <v>13</v>
      </c>
      <c r="E384" s="5" t="s">
        <v>14</v>
      </c>
      <c r="F384" s="5" t="s">
        <v>481</v>
      </c>
      <c r="G384" s="41" t="s">
        <v>15</v>
      </c>
      <c r="H384" s="52" t="s">
        <v>30</v>
      </c>
      <c r="I384" s="87" t="s">
        <v>104</v>
      </c>
      <c r="J384" s="44" t="s">
        <v>17</v>
      </c>
      <c r="K384" s="172" t="s">
        <v>18</v>
      </c>
      <c r="L384" s="42" t="s">
        <v>125</v>
      </c>
      <c r="M384" s="44" t="s">
        <v>48</v>
      </c>
    </row>
    <row r="385" spans="1:13" s="5" customFormat="1" x14ac:dyDescent="0.25">
      <c r="A385" s="39">
        <f t="shared" si="6"/>
        <v>384</v>
      </c>
      <c r="B385" s="51" t="s">
        <v>764</v>
      </c>
      <c r="C385" s="87" t="s">
        <v>12</v>
      </c>
      <c r="D385" s="5" t="s">
        <v>13</v>
      </c>
      <c r="E385" s="5" t="s">
        <v>14</v>
      </c>
      <c r="F385" s="5" t="s">
        <v>481</v>
      </c>
      <c r="G385" s="41" t="s">
        <v>15</v>
      </c>
      <c r="H385" s="52" t="s">
        <v>30</v>
      </c>
      <c r="I385" s="87" t="s">
        <v>22</v>
      </c>
      <c r="J385" s="5" t="s">
        <v>17</v>
      </c>
      <c r="K385" s="172" t="s">
        <v>202</v>
      </c>
      <c r="L385" s="44" t="s">
        <v>47</v>
      </c>
      <c r="M385" s="44" t="s">
        <v>444</v>
      </c>
    </row>
    <row r="386" spans="1:13" s="5" customFormat="1" x14ac:dyDescent="0.25">
      <c r="A386" s="39">
        <f t="shared" si="6"/>
        <v>385</v>
      </c>
      <c r="B386" s="51" t="s">
        <v>764</v>
      </c>
      <c r="C386" s="87" t="s">
        <v>12</v>
      </c>
      <c r="D386" s="5" t="s">
        <v>13</v>
      </c>
      <c r="E386" s="5" t="s">
        <v>14</v>
      </c>
      <c r="F386" s="5" t="s">
        <v>481</v>
      </c>
      <c r="G386" s="41" t="s">
        <v>15</v>
      </c>
      <c r="H386" s="52" t="s">
        <v>26</v>
      </c>
      <c r="I386" s="87" t="s">
        <v>482</v>
      </c>
      <c r="K386" s="44"/>
      <c r="L386" s="44"/>
      <c r="M386" s="44"/>
    </row>
    <row r="387" spans="1:13" s="5" customFormat="1" x14ac:dyDescent="0.25">
      <c r="A387" s="39">
        <f t="shared" si="6"/>
        <v>386</v>
      </c>
      <c r="B387" s="51" t="s">
        <v>764</v>
      </c>
      <c r="C387" s="87" t="s">
        <v>12</v>
      </c>
      <c r="D387" s="5" t="s">
        <v>13</v>
      </c>
      <c r="E387" s="5" t="s">
        <v>14</v>
      </c>
      <c r="F387" s="5" t="s">
        <v>481</v>
      </c>
      <c r="G387" s="41" t="s">
        <v>15</v>
      </c>
      <c r="H387" s="52" t="s">
        <v>16</v>
      </c>
      <c r="I387" s="87"/>
      <c r="J387" s="5" t="s">
        <v>17</v>
      </c>
      <c r="K387" s="172" t="s">
        <v>202</v>
      </c>
      <c r="L387" s="44" t="s">
        <v>47</v>
      </c>
      <c r="M387" s="44" t="s">
        <v>459</v>
      </c>
    </row>
    <row r="388" spans="1:13" s="5" customFormat="1" x14ac:dyDescent="0.25">
      <c r="A388" s="39">
        <f t="shared" si="6"/>
        <v>387</v>
      </c>
      <c r="B388" s="51" t="s">
        <v>764</v>
      </c>
      <c r="C388" s="87" t="s">
        <v>12</v>
      </c>
      <c r="D388" s="5" t="s">
        <v>13</v>
      </c>
      <c r="E388" s="5" t="s">
        <v>14</v>
      </c>
      <c r="F388" s="5" t="s">
        <v>481</v>
      </c>
      <c r="G388" s="41" t="s">
        <v>15</v>
      </c>
      <c r="H388" s="52" t="s">
        <v>16</v>
      </c>
      <c r="I388" s="7" t="s">
        <v>483</v>
      </c>
      <c r="J388" s="5" t="s">
        <v>31</v>
      </c>
      <c r="K388" s="172" t="s">
        <v>484</v>
      </c>
      <c r="L388" s="172"/>
      <c r="M388" s="44" t="s">
        <v>217</v>
      </c>
    </row>
    <row r="389" spans="1:13" s="5" customFormat="1" x14ac:dyDescent="0.25">
      <c r="A389" s="39">
        <f t="shared" si="6"/>
        <v>388</v>
      </c>
      <c r="B389" s="51" t="s">
        <v>764</v>
      </c>
      <c r="C389" s="87" t="s">
        <v>12</v>
      </c>
      <c r="D389" s="5" t="s">
        <v>13</v>
      </c>
      <c r="E389" s="5" t="s">
        <v>14</v>
      </c>
      <c r="F389" s="5" t="s">
        <v>481</v>
      </c>
      <c r="G389" s="41" t="s">
        <v>15</v>
      </c>
      <c r="H389" s="7" t="s">
        <v>26</v>
      </c>
      <c r="I389" s="87" t="s">
        <v>821</v>
      </c>
      <c r="K389" s="44"/>
      <c r="L389" s="44"/>
      <c r="M389" s="44"/>
    </row>
    <row r="390" spans="1:13" s="5" customFormat="1" x14ac:dyDescent="0.25">
      <c r="A390" s="39">
        <f t="shared" si="6"/>
        <v>389</v>
      </c>
      <c r="B390" s="51" t="s">
        <v>764</v>
      </c>
      <c r="C390" s="87" t="s">
        <v>12</v>
      </c>
      <c r="D390" s="5" t="s">
        <v>13</v>
      </c>
      <c r="E390" s="5" t="s">
        <v>14</v>
      </c>
      <c r="F390" s="5" t="s">
        <v>481</v>
      </c>
      <c r="G390" s="41" t="s">
        <v>15</v>
      </c>
      <c r="H390" s="52" t="s">
        <v>26</v>
      </c>
      <c r="I390" s="87" t="s">
        <v>795</v>
      </c>
      <c r="J390" s="5" t="s">
        <v>794</v>
      </c>
      <c r="K390" s="44"/>
      <c r="M390" s="44"/>
    </row>
    <row r="391" spans="1:13" s="5" customFormat="1" x14ac:dyDescent="0.25">
      <c r="A391" s="39">
        <f t="shared" si="6"/>
        <v>390</v>
      </c>
      <c r="B391" s="51" t="s">
        <v>764</v>
      </c>
      <c r="C391" s="87" t="s">
        <v>12</v>
      </c>
      <c r="D391" s="5" t="s">
        <v>13</v>
      </c>
      <c r="E391" s="5" t="s">
        <v>14</v>
      </c>
      <c r="F391" s="7" t="s">
        <v>752</v>
      </c>
      <c r="G391" s="41" t="s">
        <v>15</v>
      </c>
      <c r="H391" s="52" t="s">
        <v>26</v>
      </c>
      <c r="I391" s="87" t="s">
        <v>485</v>
      </c>
      <c r="K391" s="44"/>
      <c r="L391" s="44"/>
      <c r="M391" s="44"/>
    </row>
    <row r="392" spans="1:13" s="5" customFormat="1" x14ac:dyDescent="0.25">
      <c r="A392" s="39">
        <f t="shared" si="6"/>
        <v>391</v>
      </c>
      <c r="B392" s="51" t="s">
        <v>764</v>
      </c>
      <c r="C392" s="87" t="s">
        <v>12</v>
      </c>
      <c r="D392" s="5" t="s">
        <v>13</v>
      </c>
      <c r="E392" s="5" t="s">
        <v>14</v>
      </c>
      <c r="F392" s="7" t="s">
        <v>752</v>
      </c>
      <c r="G392" s="41" t="s">
        <v>15</v>
      </c>
      <c r="H392" s="52" t="s">
        <v>26</v>
      </c>
      <c r="I392" s="87" t="s">
        <v>486</v>
      </c>
      <c r="K392" s="44"/>
      <c r="L392" s="44"/>
      <c r="M392" s="44"/>
    </row>
    <row r="393" spans="1:13" s="5" customFormat="1" x14ac:dyDescent="0.25">
      <c r="A393" s="39">
        <f t="shared" si="6"/>
        <v>392</v>
      </c>
      <c r="B393" s="51" t="s">
        <v>764</v>
      </c>
      <c r="C393" s="87" t="s">
        <v>12</v>
      </c>
      <c r="D393" s="5" t="s">
        <v>13</v>
      </c>
      <c r="E393" s="5" t="s">
        <v>14</v>
      </c>
      <c r="F393" s="7" t="s">
        <v>752</v>
      </c>
      <c r="G393" s="41" t="s">
        <v>15</v>
      </c>
      <c r="H393" s="52" t="s">
        <v>26</v>
      </c>
      <c r="I393" s="87" t="s">
        <v>485</v>
      </c>
      <c r="K393" s="44"/>
      <c r="L393" s="44"/>
      <c r="M393" s="44"/>
    </row>
    <row r="394" spans="1:13" s="5" customFormat="1" x14ac:dyDescent="0.25">
      <c r="A394" s="8">
        <f t="shared" si="6"/>
        <v>393</v>
      </c>
      <c r="B394" s="36" t="s">
        <v>764</v>
      </c>
      <c r="C394" s="85" t="s">
        <v>12</v>
      </c>
      <c r="D394" s="9" t="s">
        <v>127</v>
      </c>
      <c r="E394" s="9" t="s">
        <v>14</v>
      </c>
      <c r="F394" s="22" t="s">
        <v>502</v>
      </c>
      <c r="G394" s="11" t="s">
        <v>15</v>
      </c>
      <c r="H394" s="11" t="s">
        <v>63</v>
      </c>
      <c r="I394" s="87"/>
      <c r="K394" s="44"/>
      <c r="L394" s="44"/>
      <c r="M394" s="44"/>
    </row>
    <row r="395" spans="1:13" s="5" customFormat="1" x14ac:dyDescent="0.25">
      <c r="A395" s="39">
        <f t="shared" si="6"/>
        <v>394</v>
      </c>
      <c r="B395" s="51" t="s">
        <v>764</v>
      </c>
      <c r="C395" s="87" t="s">
        <v>12</v>
      </c>
      <c r="D395" s="5" t="s">
        <v>13</v>
      </c>
      <c r="E395" s="5" t="s">
        <v>14</v>
      </c>
      <c r="F395" s="7" t="s">
        <v>752</v>
      </c>
      <c r="G395" s="41" t="s">
        <v>15</v>
      </c>
      <c r="H395" s="52" t="s">
        <v>26</v>
      </c>
      <c r="I395" s="87" t="s">
        <v>22</v>
      </c>
      <c r="K395" s="44"/>
      <c r="L395" s="44"/>
      <c r="M395" s="44"/>
    </row>
    <row r="396" spans="1:13" s="5" customFormat="1" x14ac:dyDescent="0.25">
      <c r="A396" s="39">
        <f t="shared" si="6"/>
        <v>395</v>
      </c>
      <c r="B396" s="51" t="s">
        <v>764</v>
      </c>
      <c r="C396" s="87" t="s">
        <v>12</v>
      </c>
      <c r="D396" s="5" t="s">
        <v>13</v>
      </c>
      <c r="E396" s="5" t="s">
        <v>14</v>
      </c>
      <c r="F396" s="7" t="s">
        <v>752</v>
      </c>
      <c r="G396" s="41" t="s">
        <v>15</v>
      </c>
      <c r="H396" s="52" t="s">
        <v>16</v>
      </c>
      <c r="I396" s="87"/>
      <c r="J396" s="5" t="s">
        <v>131</v>
      </c>
      <c r="K396" s="172" t="s">
        <v>58</v>
      </c>
      <c r="L396" s="172" t="s">
        <v>47</v>
      </c>
      <c r="M396" s="44" t="s">
        <v>487</v>
      </c>
    </row>
    <row r="397" spans="1:13" s="5" customFormat="1" x14ac:dyDescent="0.25">
      <c r="A397" s="39">
        <f t="shared" si="6"/>
        <v>396</v>
      </c>
      <c r="B397" s="51" t="s">
        <v>764</v>
      </c>
      <c r="C397" s="87" t="s">
        <v>12</v>
      </c>
      <c r="D397" s="5" t="s">
        <v>13</v>
      </c>
      <c r="E397" s="5" t="s">
        <v>14</v>
      </c>
      <c r="F397" s="7" t="s">
        <v>752</v>
      </c>
      <c r="G397" s="41" t="s">
        <v>15</v>
      </c>
      <c r="H397" s="52" t="s">
        <v>30</v>
      </c>
      <c r="I397" s="87" t="s">
        <v>22</v>
      </c>
      <c r="J397" s="5" t="s">
        <v>131</v>
      </c>
      <c r="K397" s="44" t="s">
        <v>839</v>
      </c>
      <c r="L397" s="44" t="s">
        <v>114</v>
      </c>
      <c r="M397" s="44" t="s">
        <v>488</v>
      </c>
    </row>
    <row r="398" spans="1:13" s="5" customFormat="1" x14ac:dyDescent="0.25">
      <c r="A398" s="39">
        <f t="shared" si="6"/>
        <v>397</v>
      </c>
      <c r="B398" s="51" t="s">
        <v>764</v>
      </c>
      <c r="C398" s="87" t="s">
        <v>12</v>
      </c>
      <c r="D398" s="5" t="s">
        <v>13</v>
      </c>
      <c r="E398" s="5" t="s">
        <v>14</v>
      </c>
      <c r="F398" s="7" t="s">
        <v>753</v>
      </c>
      <c r="G398" s="41" t="s">
        <v>15</v>
      </c>
      <c r="H398" s="41" t="s">
        <v>761</v>
      </c>
      <c r="I398" s="87"/>
      <c r="K398" s="44" t="s">
        <v>489</v>
      </c>
      <c r="L398" s="44"/>
      <c r="M398" s="44"/>
    </row>
    <row r="399" spans="1:13" s="5" customFormat="1" x14ac:dyDescent="0.25">
      <c r="A399" s="39">
        <f t="shared" si="6"/>
        <v>398</v>
      </c>
      <c r="B399" s="51" t="s">
        <v>764</v>
      </c>
      <c r="C399" s="87" t="s">
        <v>12</v>
      </c>
      <c r="D399" s="5" t="s">
        <v>13</v>
      </c>
      <c r="E399" s="5" t="s">
        <v>14</v>
      </c>
      <c r="F399" s="7" t="s">
        <v>753</v>
      </c>
      <c r="G399" s="41" t="s">
        <v>15</v>
      </c>
      <c r="H399" s="52" t="s">
        <v>26</v>
      </c>
      <c r="I399" s="87" t="s">
        <v>490</v>
      </c>
      <c r="J399" s="5" t="s">
        <v>491</v>
      </c>
      <c r="K399" s="44"/>
      <c r="L399" s="44"/>
      <c r="M399" s="44"/>
    </row>
    <row r="400" spans="1:13" s="5" customFormat="1" x14ac:dyDescent="0.25">
      <c r="A400" s="39">
        <f t="shared" si="6"/>
        <v>399</v>
      </c>
      <c r="B400" s="51" t="s">
        <v>764</v>
      </c>
      <c r="C400" s="87" t="s">
        <v>12</v>
      </c>
      <c r="D400" s="5" t="s">
        <v>13</v>
      </c>
      <c r="E400" s="5" t="s">
        <v>14</v>
      </c>
      <c r="F400" s="7" t="s">
        <v>753</v>
      </c>
      <c r="G400" s="41" t="s">
        <v>15</v>
      </c>
      <c r="H400" s="41" t="s">
        <v>30</v>
      </c>
      <c r="I400" s="7" t="s">
        <v>492</v>
      </c>
      <c r="J400" s="5" t="s">
        <v>31</v>
      </c>
      <c r="K400" s="172" t="s">
        <v>493</v>
      </c>
      <c r="L400" s="44"/>
      <c r="M400" s="172" t="s">
        <v>494</v>
      </c>
    </row>
    <row r="401" spans="1:13" s="5" customFormat="1" x14ac:dyDescent="0.25">
      <c r="A401" s="39">
        <f t="shared" si="6"/>
        <v>400</v>
      </c>
      <c r="B401" s="51" t="s">
        <v>764</v>
      </c>
      <c r="C401" s="87" t="s">
        <v>12</v>
      </c>
      <c r="D401" s="5" t="s">
        <v>13</v>
      </c>
      <c r="E401" s="5" t="s">
        <v>14</v>
      </c>
      <c r="F401" s="7" t="s">
        <v>753</v>
      </c>
      <c r="G401" s="41" t="s">
        <v>15</v>
      </c>
      <c r="H401" s="41" t="s">
        <v>30</v>
      </c>
      <c r="I401" s="87" t="s">
        <v>485</v>
      </c>
      <c r="J401" s="5" t="s">
        <v>131</v>
      </c>
      <c r="K401" s="44" t="s">
        <v>495</v>
      </c>
      <c r="L401" s="91"/>
      <c r="M401" s="44" t="s">
        <v>81</v>
      </c>
    </row>
    <row r="402" spans="1:13" s="5" customFormat="1" x14ac:dyDescent="0.25">
      <c r="A402" s="39">
        <f t="shared" si="6"/>
        <v>401</v>
      </c>
      <c r="B402" s="51" t="s">
        <v>764</v>
      </c>
      <c r="C402" s="87" t="s">
        <v>12</v>
      </c>
      <c r="D402" s="5" t="s">
        <v>13</v>
      </c>
      <c r="E402" s="5" t="s">
        <v>14</v>
      </c>
      <c r="F402" s="7" t="s">
        <v>753</v>
      </c>
      <c r="G402" s="41" t="s">
        <v>15</v>
      </c>
      <c r="H402" s="52" t="s">
        <v>30</v>
      </c>
      <c r="I402" s="87" t="s">
        <v>85</v>
      </c>
      <c r="J402" s="5" t="s">
        <v>131</v>
      </c>
      <c r="K402" s="44" t="s">
        <v>839</v>
      </c>
      <c r="L402" s="44" t="s">
        <v>114</v>
      </c>
      <c r="M402" s="44" t="s">
        <v>488</v>
      </c>
    </row>
    <row r="403" spans="1:13" s="5" customFormat="1" x14ac:dyDescent="0.25">
      <c r="A403" s="39">
        <f t="shared" si="6"/>
        <v>402</v>
      </c>
      <c r="B403" s="51" t="s">
        <v>764</v>
      </c>
      <c r="C403" s="87" t="s">
        <v>12</v>
      </c>
      <c r="D403" s="5" t="s">
        <v>13</v>
      </c>
      <c r="E403" s="5" t="s">
        <v>14</v>
      </c>
      <c r="F403" s="7" t="s">
        <v>753</v>
      </c>
      <c r="G403" s="41" t="s">
        <v>15</v>
      </c>
      <c r="H403" s="5" t="s">
        <v>16</v>
      </c>
      <c r="I403" s="87"/>
      <c r="J403" s="5" t="s">
        <v>70</v>
      </c>
      <c r="K403" s="44" t="s">
        <v>820</v>
      </c>
      <c r="L403" s="44"/>
      <c r="M403" s="44"/>
    </row>
    <row r="404" spans="1:13" s="5" customFormat="1" x14ac:dyDescent="0.25">
      <c r="A404" s="39">
        <f t="shared" si="6"/>
        <v>403</v>
      </c>
      <c r="B404" s="51" t="s">
        <v>764</v>
      </c>
      <c r="C404" s="87" t="s">
        <v>12</v>
      </c>
      <c r="D404" s="5" t="s">
        <v>13</v>
      </c>
      <c r="E404" s="5" t="s">
        <v>14</v>
      </c>
      <c r="F404" s="7" t="s">
        <v>753</v>
      </c>
      <c r="G404" s="41" t="s">
        <v>15</v>
      </c>
      <c r="H404" s="52" t="s">
        <v>16</v>
      </c>
      <c r="I404" s="87"/>
      <c r="J404" s="5" t="s">
        <v>496</v>
      </c>
      <c r="K404" s="172" t="s">
        <v>497</v>
      </c>
      <c r="L404" s="44"/>
      <c r="M404" s="44" t="s">
        <v>498</v>
      </c>
    </row>
    <row r="405" spans="1:13" s="5" customFormat="1" x14ac:dyDescent="0.25">
      <c r="A405" s="39">
        <f t="shared" si="6"/>
        <v>404</v>
      </c>
      <c r="B405" s="51" t="s">
        <v>764</v>
      </c>
      <c r="C405" s="87" t="s">
        <v>12</v>
      </c>
      <c r="D405" s="5" t="s">
        <v>13</v>
      </c>
      <c r="E405" s="5" t="s">
        <v>14</v>
      </c>
      <c r="F405" s="7" t="s">
        <v>753</v>
      </c>
      <c r="G405" s="41" t="s">
        <v>15</v>
      </c>
      <c r="H405" s="52" t="s">
        <v>16</v>
      </c>
      <c r="I405" s="87"/>
      <c r="J405" s="5" t="s">
        <v>131</v>
      </c>
      <c r="K405" s="44" t="s">
        <v>495</v>
      </c>
      <c r="L405" s="91"/>
      <c r="M405" s="44" t="s">
        <v>81</v>
      </c>
    </row>
    <row r="406" spans="1:13" s="5" customFormat="1" x14ac:dyDescent="0.25">
      <c r="A406" s="39">
        <f t="shared" si="6"/>
        <v>405</v>
      </c>
      <c r="B406" s="51" t="s">
        <v>764</v>
      </c>
      <c r="C406" s="87" t="s">
        <v>12</v>
      </c>
      <c r="D406" s="5" t="s">
        <v>13</v>
      </c>
      <c r="E406" s="5" t="s">
        <v>14</v>
      </c>
      <c r="F406" s="7" t="s">
        <v>754</v>
      </c>
      <c r="G406" s="41" t="s">
        <v>15</v>
      </c>
      <c r="H406" s="52" t="s">
        <v>16</v>
      </c>
      <c r="I406" s="87" t="s">
        <v>85</v>
      </c>
      <c r="K406" s="44" t="s">
        <v>499</v>
      </c>
      <c r="L406" s="44"/>
      <c r="M406" s="44"/>
    </row>
    <row r="407" spans="1:13" s="5" customFormat="1" x14ac:dyDescent="0.25">
      <c r="A407" s="39">
        <f t="shared" si="6"/>
        <v>406</v>
      </c>
      <c r="B407" s="51" t="s">
        <v>764</v>
      </c>
      <c r="C407" s="87" t="s">
        <v>12</v>
      </c>
      <c r="D407" s="5" t="s">
        <v>13</v>
      </c>
      <c r="E407" s="5" t="s">
        <v>14</v>
      </c>
      <c r="F407" s="7" t="s">
        <v>754</v>
      </c>
      <c r="G407" s="41" t="s">
        <v>15</v>
      </c>
      <c r="H407" s="52" t="s">
        <v>26</v>
      </c>
      <c r="I407" s="87" t="s">
        <v>500</v>
      </c>
      <c r="K407" s="44"/>
      <c r="L407" s="44"/>
      <c r="M407" s="44"/>
    </row>
    <row r="408" spans="1:13" s="5" customFormat="1" x14ac:dyDescent="0.25">
      <c r="A408" s="39">
        <f t="shared" si="6"/>
        <v>407</v>
      </c>
      <c r="B408" s="51" t="s">
        <v>764</v>
      </c>
      <c r="C408" s="87" t="s">
        <v>12</v>
      </c>
      <c r="D408" s="5" t="s">
        <v>13</v>
      </c>
      <c r="E408" s="5" t="s">
        <v>14</v>
      </c>
      <c r="F408" s="7" t="s">
        <v>754</v>
      </c>
      <c r="G408" s="41" t="s">
        <v>15</v>
      </c>
      <c r="H408" s="52" t="s">
        <v>30</v>
      </c>
      <c r="I408" s="87" t="s">
        <v>22</v>
      </c>
      <c r="J408" s="5" t="s">
        <v>131</v>
      </c>
      <c r="K408" s="44" t="s">
        <v>72</v>
      </c>
      <c r="L408" s="44" t="s">
        <v>125</v>
      </c>
      <c r="M408" s="91" t="s">
        <v>501</v>
      </c>
    </row>
    <row r="409" spans="1:13" s="5" customFormat="1" x14ac:dyDescent="0.25">
      <c r="A409" s="39">
        <f t="shared" si="6"/>
        <v>408</v>
      </c>
      <c r="B409" s="51" t="s">
        <v>764</v>
      </c>
      <c r="C409" s="87" t="s">
        <v>12</v>
      </c>
      <c r="D409" s="5" t="s">
        <v>127</v>
      </c>
      <c r="E409" s="7" t="s">
        <v>14</v>
      </c>
      <c r="F409" s="7" t="s">
        <v>502</v>
      </c>
      <c r="G409" s="41" t="s">
        <v>15</v>
      </c>
      <c r="H409" s="52" t="s">
        <v>16</v>
      </c>
      <c r="I409" s="42"/>
      <c r="J409" s="42" t="s">
        <v>17</v>
      </c>
      <c r="K409" s="44" t="s">
        <v>134</v>
      </c>
      <c r="L409" s="5" t="s">
        <v>125</v>
      </c>
      <c r="M409" s="44" t="s">
        <v>504</v>
      </c>
    </row>
    <row r="410" spans="1:13" s="5" customFormat="1" x14ac:dyDescent="0.25">
      <c r="A410" s="39">
        <f t="shared" si="6"/>
        <v>409</v>
      </c>
      <c r="B410" s="51" t="s">
        <v>764</v>
      </c>
      <c r="C410" s="87" t="s">
        <v>12</v>
      </c>
      <c r="D410" s="5" t="s">
        <v>127</v>
      </c>
      <c r="E410" s="5" t="s">
        <v>14</v>
      </c>
      <c r="F410" s="7" t="s">
        <v>502</v>
      </c>
      <c r="G410" s="41" t="s">
        <v>15</v>
      </c>
      <c r="H410" s="52" t="s">
        <v>16</v>
      </c>
      <c r="I410" s="42"/>
      <c r="J410" s="172" t="s">
        <v>17</v>
      </c>
      <c r="K410" s="172" t="s">
        <v>18</v>
      </c>
      <c r="L410" s="42" t="s">
        <v>125</v>
      </c>
      <c r="M410" s="172" t="s">
        <v>505</v>
      </c>
    </row>
    <row r="411" spans="1:13" s="5" customFormat="1" x14ac:dyDescent="0.25">
      <c r="A411" s="39">
        <f t="shared" si="6"/>
        <v>410</v>
      </c>
      <c r="B411" s="51" t="s">
        <v>764</v>
      </c>
      <c r="C411" s="87" t="s">
        <v>12</v>
      </c>
      <c r="D411" s="5" t="s">
        <v>127</v>
      </c>
      <c r="E411" s="5" t="s">
        <v>14</v>
      </c>
      <c r="F411" s="7" t="s">
        <v>502</v>
      </c>
      <c r="G411" s="41" t="s">
        <v>15</v>
      </c>
      <c r="H411" s="52" t="s">
        <v>16</v>
      </c>
      <c r="I411" s="42"/>
      <c r="J411" s="44" t="s">
        <v>17</v>
      </c>
      <c r="K411" s="172" t="s">
        <v>18</v>
      </c>
      <c r="L411" s="42" t="s">
        <v>125</v>
      </c>
      <c r="M411" s="44" t="s">
        <v>103</v>
      </c>
    </row>
    <row r="412" spans="1:13" s="5" customFormat="1" x14ac:dyDescent="0.25">
      <c r="A412" s="39">
        <f t="shared" si="6"/>
        <v>411</v>
      </c>
      <c r="B412" s="51" t="s">
        <v>764</v>
      </c>
      <c r="C412" s="87" t="s">
        <v>12</v>
      </c>
      <c r="D412" s="5" t="s">
        <v>127</v>
      </c>
      <c r="E412" s="5" t="s">
        <v>14</v>
      </c>
      <c r="F412" s="7" t="s">
        <v>502</v>
      </c>
      <c r="G412" s="41" t="s">
        <v>15</v>
      </c>
      <c r="H412" s="52" t="s">
        <v>16</v>
      </c>
      <c r="I412" s="42"/>
      <c r="J412" s="44" t="s">
        <v>17</v>
      </c>
      <c r="K412" s="172" t="s">
        <v>18</v>
      </c>
      <c r="L412" s="42" t="s">
        <v>125</v>
      </c>
      <c r="M412" s="172" t="s">
        <v>506</v>
      </c>
    </row>
    <row r="413" spans="1:13" s="5" customFormat="1" ht="30" x14ac:dyDescent="0.25">
      <c r="A413" s="39">
        <f t="shared" si="6"/>
        <v>412</v>
      </c>
      <c r="B413" s="51" t="s">
        <v>764</v>
      </c>
      <c r="C413" s="87" t="s">
        <v>12</v>
      </c>
      <c r="D413" s="5" t="s">
        <v>127</v>
      </c>
      <c r="E413" s="5" t="s">
        <v>14</v>
      </c>
      <c r="F413" s="7" t="s">
        <v>502</v>
      </c>
      <c r="G413" s="41" t="s">
        <v>15</v>
      </c>
      <c r="H413" s="52" t="s">
        <v>16</v>
      </c>
      <c r="I413" s="87"/>
      <c r="J413" s="42" t="s">
        <v>507</v>
      </c>
      <c r="K413" s="44" t="s">
        <v>508</v>
      </c>
      <c r="L413" s="44"/>
      <c r="M413" s="172" t="s">
        <v>509</v>
      </c>
    </row>
    <row r="414" spans="1:13" s="5" customFormat="1" x14ac:dyDescent="0.25">
      <c r="A414" s="39">
        <f t="shared" si="6"/>
        <v>413</v>
      </c>
      <c r="B414" s="51" t="s">
        <v>764</v>
      </c>
      <c r="C414" s="87" t="s">
        <v>12</v>
      </c>
      <c r="D414" s="5" t="s">
        <v>127</v>
      </c>
      <c r="E414" s="5" t="s">
        <v>14</v>
      </c>
      <c r="F414" s="7" t="s">
        <v>502</v>
      </c>
      <c r="G414" s="41" t="s">
        <v>15</v>
      </c>
      <c r="H414" s="52" t="s">
        <v>16</v>
      </c>
      <c r="I414" s="42"/>
      <c r="J414" s="5" t="s">
        <v>31</v>
      </c>
      <c r="K414" s="44" t="s">
        <v>510</v>
      </c>
      <c r="L414" s="172"/>
      <c r="M414" s="172" t="s">
        <v>511</v>
      </c>
    </row>
    <row r="415" spans="1:13" s="5" customFormat="1" x14ac:dyDescent="0.25">
      <c r="A415" s="39">
        <f t="shared" si="6"/>
        <v>414</v>
      </c>
      <c r="B415" s="51" t="s">
        <v>764</v>
      </c>
      <c r="C415" s="87" t="s">
        <v>12</v>
      </c>
      <c r="D415" s="5" t="s">
        <v>127</v>
      </c>
      <c r="E415" s="5" t="s">
        <v>14</v>
      </c>
      <c r="F415" s="7" t="s">
        <v>502</v>
      </c>
      <c r="G415" s="41" t="s">
        <v>15</v>
      </c>
      <c r="H415" s="52" t="s">
        <v>16</v>
      </c>
      <c r="I415" s="42"/>
      <c r="J415" s="5" t="s">
        <v>17</v>
      </c>
      <c r="K415" s="172" t="s">
        <v>202</v>
      </c>
      <c r="L415" s="172" t="s">
        <v>47</v>
      </c>
      <c r="M415" s="172"/>
    </row>
    <row r="416" spans="1:13" s="5" customFormat="1" x14ac:dyDescent="0.25">
      <c r="A416" s="39">
        <f t="shared" si="6"/>
        <v>415</v>
      </c>
      <c r="B416" s="51" t="s">
        <v>764</v>
      </c>
      <c r="C416" s="87" t="s">
        <v>12</v>
      </c>
      <c r="D416" s="5" t="s">
        <v>127</v>
      </c>
      <c r="E416" s="5" t="s">
        <v>14</v>
      </c>
      <c r="F416" s="7" t="s">
        <v>502</v>
      </c>
      <c r="G416" s="41" t="s">
        <v>15</v>
      </c>
      <c r="H416" s="41" t="s">
        <v>16</v>
      </c>
      <c r="I416" s="87"/>
      <c r="J416" s="5" t="s">
        <v>801</v>
      </c>
      <c r="K416" s="44" t="s">
        <v>818</v>
      </c>
      <c r="L416" s="44"/>
      <c r="M416" s="44" t="s">
        <v>819</v>
      </c>
    </row>
    <row r="417" spans="1:13" s="5" customFormat="1" x14ac:dyDescent="0.25">
      <c r="A417" s="39">
        <f t="shared" ref="A417:A480" si="7">A416+1</f>
        <v>416</v>
      </c>
      <c r="B417" s="39" t="s">
        <v>764</v>
      </c>
      <c r="C417" s="87" t="s">
        <v>12</v>
      </c>
      <c r="D417" s="5" t="s">
        <v>127</v>
      </c>
      <c r="E417" s="5" t="s">
        <v>14</v>
      </c>
      <c r="F417" s="7" t="s">
        <v>502</v>
      </c>
      <c r="G417" s="41" t="s">
        <v>96</v>
      </c>
      <c r="H417" s="52" t="s">
        <v>16</v>
      </c>
      <c r="I417" s="87"/>
      <c r="J417" s="5" t="s">
        <v>17</v>
      </c>
      <c r="K417" s="44" t="s">
        <v>512</v>
      </c>
      <c r="L417" s="5" t="s">
        <v>125</v>
      </c>
      <c r="M417" s="44" t="s">
        <v>241</v>
      </c>
    </row>
    <row r="418" spans="1:13" s="5" customFormat="1" x14ac:dyDescent="0.25">
      <c r="A418" s="39">
        <f t="shared" si="7"/>
        <v>417</v>
      </c>
      <c r="B418" s="39" t="s">
        <v>764</v>
      </c>
      <c r="C418" s="87" t="s">
        <v>12</v>
      </c>
      <c r="D418" s="5" t="s">
        <v>127</v>
      </c>
      <c r="E418" s="5" t="s">
        <v>14</v>
      </c>
      <c r="F418" s="7" t="s">
        <v>502</v>
      </c>
      <c r="G418" s="41" t="s">
        <v>15</v>
      </c>
      <c r="H418" s="52" t="s">
        <v>16</v>
      </c>
      <c r="I418" s="87"/>
      <c r="J418" s="5" t="s">
        <v>17</v>
      </c>
      <c r="K418" s="44" t="s">
        <v>134</v>
      </c>
      <c r="L418" s="5" t="s">
        <v>125</v>
      </c>
      <c r="M418" s="44" t="s">
        <v>513</v>
      </c>
    </row>
    <row r="419" spans="1:13" s="5" customFormat="1" x14ac:dyDescent="0.25">
      <c r="A419" s="14">
        <f t="shared" si="7"/>
        <v>418</v>
      </c>
      <c r="B419" s="14" t="s">
        <v>764</v>
      </c>
      <c r="C419" s="86" t="s">
        <v>12</v>
      </c>
      <c r="D419" s="15" t="s">
        <v>127</v>
      </c>
      <c r="E419" s="15" t="s">
        <v>14</v>
      </c>
      <c r="F419" s="23" t="s">
        <v>502</v>
      </c>
      <c r="G419" s="18" t="s">
        <v>15</v>
      </c>
      <c r="H419" s="19" t="s">
        <v>122</v>
      </c>
      <c r="I419" s="86"/>
      <c r="J419" s="15"/>
      <c r="K419" s="16"/>
      <c r="L419" s="16"/>
      <c r="M419" s="16"/>
    </row>
    <row r="420" spans="1:13" s="5" customFormat="1" x14ac:dyDescent="0.25">
      <c r="A420" s="39">
        <f t="shared" si="7"/>
        <v>419</v>
      </c>
      <c r="B420" s="39" t="s">
        <v>764</v>
      </c>
      <c r="C420" s="87" t="s">
        <v>12</v>
      </c>
      <c r="D420" s="5" t="s">
        <v>127</v>
      </c>
      <c r="E420" s="5" t="s">
        <v>14</v>
      </c>
      <c r="F420" s="7" t="s">
        <v>502</v>
      </c>
      <c r="G420" s="41" t="s">
        <v>15</v>
      </c>
      <c r="H420" s="52" t="s">
        <v>16</v>
      </c>
      <c r="I420" s="87"/>
      <c r="J420" s="44" t="s">
        <v>131</v>
      </c>
      <c r="K420" s="172" t="s">
        <v>18</v>
      </c>
      <c r="L420" s="42" t="s">
        <v>125</v>
      </c>
      <c r="M420" s="44" t="s">
        <v>48</v>
      </c>
    </row>
    <row r="421" spans="1:13" s="5" customFormat="1" x14ac:dyDescent="0.25">
      <c r="A421" s="39">
        <f t="shared" si="7"/>
        <v>420</v>
      </c>
      <c r="B421" s="39" t="s">
        <v>764</v>
      </c>
      <c r="C421" s="87" t="s">
        <v>12</v>
      </c>
      <c r="D421" s="5" t="s">
        <v>127</v>
      </c>
      <c r="E421" s="5" t="s">
        <v>14</v>
      </c>
      <c r="F421" s="7" t="s">
        <v>502</v>
      </c>
      <c r="G421" s="41" t="s">
        <v>15</v>
      </c>
      <c r="H421" s="52" t="s">
        <v>16</v>
      </c>
      <c r="I421" s="87"/>
      <c r="J421" s="44" t="s">
        <v>131</v>
      </c>
      <c r="K421" s="172" t="s">
        <v>18</v>
      </c>
      <c r="L421" s="42" t="s">
        <v>125</v>
      </c>
      <c r="M421" s="44" t="s">
        <v>444</v>
      </c>
    </row>
    <row r="422" spans="1:13" s="5" customFormat="1" x14ac:dyDescent="0.25">
      <c r="A422" s="14">
        <f t="shared" si="7"/>
        <v>421</v>
      </c>
      <c r="B422" s="14" t="s">
        <v>764</v>
      </c>
      <c r="C422" s="86" t="s">
        <v>12</v>
      </c>
      <c r="D422" s="15" t="s">
        <v>127</v>
      </c>
      <c r="E422" s="15" t="s">
        <v>14</v>
      </c>
      <c r="F422" s="23" t="s">
        <v>502</v>
      </c>
      <c r="G422" s="18" t="s">
        <v>15</v>
      </c>
      <c r="H422" s="19" t="s">
        <v>122</v>
      </c>
      <c r="I422" s="86"/>
      <c r="J422" s="15"/>
      <c r="K422" s="16"/>
      <c r="L422" s="24"/>
      <c r="M422" s="16"/>
    </row>
    <row r="423" spans="1:13" s="5" customFormat="1" x14ac:dyDescent="0.25">
      <c r="A423" s="8">
        <f t="shared" si="7"/>
        <v>422</v>
      </c>
      <c r="B423" s="32" t="s">
        <v>762</v>
      </c>
      <c r="C423" s="85" t="s">
        <v>12</v>
      </c>
      <c r="D423" s="9" t="s">
        <v>177</v>
      </c>
      <c r="E423" s="9" t="s">
        <v>14</v>
      </c>
      <c r="F423" s="9" t="s">
        <v>745</v>
      </c>
      <c r="G423" s="11" t="s">
        <v>15</v>
      </c>
      <c r="H423" s="11" t="s">
        <v>63</v>
      </c>
      <c r="I423" s="87"/>
      <c r="K423" s="44"/>
      <c r="M423" s="44"/>
    </row>
    <row r="424" spans="1:13" s="5" customFormat="1" x14ac:dyDescent="0.25">
      <c r="A424" s="14">
        <f t="shared" si="7"/>
        <v>423</v>
      </c>
      <c r="B424" s="14" t="s">
        <v>764</v>
      </c>
      <c r="C424" s="86" t="s">
        <v>12</v>
      </c>
      <c r="D424" s="15" t="s">
        <v>127</v>
      </c>
      <c r="E424" s="15" t="s">
        <v>14</v>
      </c>
      <c r="F424" s="23" t="s">
        <v>502</v>
      </c>
      <c r="G424" s="18" t="s">
        <v>15</v>
      </c>
      <c r="H424" s="19" t="s">
        <v>122</v>
      </c>
      <c r="I424" s="86"/>
      <c r="J424" s="15"/>
      <c r="K424" s="16"/>
      <c r="L424" s="16"/>
      <c r="M424" s="16"/>
    </row>
    <row r="425" spans="1:13" s="5" customFormat="1" x14ac:dyDescent="0.25">
      <c r="A425" s="39">
        <f t="shared" si="7"/>
        <v>424</v>
      </c>
      <c r="B425" s="90" t="s">
        <v>764</v>
      </c>
      <c r="C425" s="87" t="s">
        <v>12</v>
      </c>
      <c r="D425" s="5" t="s">
        <v>127</v>
      </c>
      <c r="E425" s="5" t="s">
        <v>14</v>
      </c>
      <c r="F425" s="7" t="s">
        <v>502</v>
      </c>
      <c r="G425" s="41" t="s">
        <v>15</v>
      </c>
      <c r="H425" s="52" t="s">
        <v>16</v>
      </c>
      <c r="I425" s="87"/>
      <c r="J425" s="7" t="s">
        <v>514</v>
      </c>
      <c r="K425" s="172" t="s">
        <v>515</v>
      </c>
      <c r="L425" s="44"/>
      <c r="M425" s="172" t="s">
        <v>516</v>
      </c>
    </row>
    <row r="426" spans="1:13" s="5" customFormat="1" x14ac:dyDescent="0.25">
      <c r="A426" s="14">
        <f t="shared" si="7"/>
        <v>425</v>
      </c>
      <c r="B426" s="14" t="s">
        <v>764</v>
      </c>
      <c r="C426" s="86" t="s">
        <v>12</v>
      </c>
      <c r="D426" s="15" t="s">
        <v>127</v>
      </c>
      <c r="E426" s="15" t="s">
        <v>14</v>
      </c>
      <c r="F426" s="23" t="s">
        <v>502</v>
      </c>
      <c r="G426" s="18" t="s">
        <v>15</v>
      </c>
      <c r="H426" s="19" t="s">
        <v>122</v>
      </c>
      <c r="I426" s="86"/>
      <c r="J426" s="15"/>
      <c r="K426" s="173"/>
      <c r="L426" s="24"/>
      <c r="M426" s="16"/>
    </row>
    <row r="427" spans="1:13" s="5" customFormat="1" x14ac:dyDescent="0.25">
      <c r="A427" s="192">
        <f t="shared" si="7"/>
        <v>426</v>
      </c>
      <c r="B427" s="208" t="s">
        <v>764</v>
      </c>
      <c r="C427" s="194" t="s">
        <v>12</v>
      </c>
      <c r="D427" s="193" t="s">
        <v>127</v>
      </c>
      <c r="E427" s="193" t="s">
        <v>14</v>
      </c>
      <c r="F427" s="201" t="s">
        <v>502</v>
      </c>
      <c r="G427" s="197" t="s">
        <v>15</v>
      </c>
      <c r="H427" s="197" t="s">
        <v>847</v>
      </c>
      <c r="I427" s="87"/>
      <c r="K427" s="44"/>
      <c r="L427" s="44"/>
      <c r="M427" s="44"/>
    </row>
    <row r="428" spans="1:13" s="5" customFormat="1" x14ac:dyDescent="0.25">
      <c r="A428" s="39">
        <f t="shared" si="7"/>
        <v>427</v>
      </c>
      <c r="B428" s="90" t="s">
        <v>763</v>
      </c>
      <c r="C428" s="87" t="s">
        <v>12</v>
      </c>
      <c r="D428" s="5" t="s">
        <v>177</v>
      </c>
      <c r="E428" s="5" t="s">
        <v>14</v>
      </c>
      <c r="F428" s="5" t="s">
        <v>755</v>
      </c>
      <c r="G428" s="41" t="s">
        <v>98</v>
      </c>
      <c r="H428" s="5" t="s">
        <v>16</v>
      </c>
      <c r="I428" s="87"/>
      <c r="J428" s="5" t="s">
        <v>131</v>
      </c>
      <c r="K428" s="44" t="s">
        <v>80</v>
      </c>
      <c r="L428" s="5" t="s">
        <v>80</v>
      </c>
      <c r="M428" s="44" t="s">
        <v>817</v>
      </c>
    </row>
    <row r="429" spans="1:13" s="5" customFormat="1" x14ac:dyDescent="0.25">
      <c r="A429" s="39">
        <f t="shared" si="7"/>
        <v>428</v>
      </c>
      <c r="B429" s="90" t="s">
        <v>763</v>
      </c>
      <c r="C429" s="87" t="s">
        <v>12</v>
      </c>
      <c r="D429" s="5" t="s">
        <v>177</v>
      </c>
      <c r="E429" s="5" t="s">
        <v>14</v>
      </c>
      <c r="F429" s="5" t="s">
        <v>755</v>
      </c>
      <c r="G429" s="41" t="s">
        <v>98</v>
      </c>
      <c r="H429" s="52" t="s">
        <v>16</v>
      </c>
      <c r="I429" s="87"/>
      <c r="J429" s="5" t="s">
        <v>17</v>
      </c>
      <c r="K429" s="44" t="s">
        <v>788</v>
      </c>
      <c r="L429" s="5" t="s">
        <v>80</v>
      </c>
      <c r="M429" s="44" t="s">
        <v>217</v>
      </c>
    </row>
    <row r="430" spans="1:13" s="5" customFormat="1" x14ac:dyDescent="0.25">
      <c r="A430" s="39">
        <f t="shared" si="7"/>
        <v>429</v>
      </c>
      <c r="B430" s="90" t="s">
        <v>763</v>
      </c>
      <c r="C430" s="87" t="s">
        <v>12</v>
      </c>
      <c r="D430" s="5" t="s">
        <v>177</v>
      </c>
      <c r="E430" s="5" t="s">
        <v>14</v>
      </c>
      <c r="F430" s="7" t="s">
        <v>756</v>
      </c>
      <c r="G430" s="41" t="s">
        <v>98</v>
      </c>
      <c r="H430" s="52" t="s">
        <v>16</v>
      </c>
      <c r="I430" s="87" t="s">
        <v>517</v>
      </c>
      <c r="J430" s="5" t="s">
        <v>17</v>
      </c>
      <c r="K430" s="44" t="s">
        <v>789</v>
      </c>
      <c r="L430" s="5" t="s">
        <v>80</v>
      </c>
      <c r="M430" s="44" t="s">
        <v>81</v>
      </c>
    </row>
    <row r="431" spans="1:13" s="5" customFormat="1" x14ac:dyDescent="0.25">
      <c r="A431" s="39">
        <f t="shared" si="7"/>
        <v>430</v>
      </c>
      <c r="B431" s="90" t="s">
        <v>763</v>
      </c>
      <c r="C431" s="87" t="s">
        <v>12</v>
      </c>
      <c r="D431" s="5" t="s">
        <v>177</v>
      </c>
      <c r="E431" s="5" t="s">
        <v>14</v>
      </c>
      <c r="F431" s="7" t="s">
        <v>756</v>
      </c>
      <c r="G431" s="41" t="s">
        <v>98</v>
      </c>
      <c r="H431" s="52" t="s">
        <v>16</v>
      </c>
      <c r="I431" s="87"/>
      <c r="J431" s="5" t="s">
        <v>71</v>
      </c>
      <c r="K431" s="44" t="s">
        <v>518</v>
      </c>
      <c r="L431" s="44" t="s">
        <v>843</v>
      </c>
      <c r="M431" s="44" t="s">
        <v>519</v>
      </c>
    </row>
    <row r="432" spans="1:13" s="5" customFormat="1" x14ac:dyDescent="0.25">
      <c r="A432" s="39">
        <f t="shared" si="7"/>
        <v>431</v>
      </c>
      <c r="B432" s="90" t="s">
        <v>763</v>
      </c>
      <c r="C432" s="87" t="s">
        <v>12</v>
      </c>
      <c r="D432" s="5" t="s">
        <v>177</v>
      </c>
      <c r="E432" s="5" t="s">
        <v>14</v>
      </c>
      <c r="F432" s="7" t="s">
        <v>756</v>
      </c>
      <c r="G432" s="41" t="s">
        <v>98</v>
      </c>
      <c r="H432" s="52" t="s">
        <v>16</v>
      </c>
      <c r="I432" s="87"/>
      <c r="J432" s="5" t="s">
        <v>17</v>
      </c>
      <c r="K432" s="44" t="s">
        <v>212</v>
      </c>
      <c r="L432" s="91" t="s">
        <v>114</v>
      </c>
      <c r="M432" s="44" t="s">
        <v>520</v>
      </c>
    </row>
    <row r="433" spans="1:13" s="5" customFormat="1" x14ac:dyDescent="0.25">
      <c r="A433" s="39">
        <f t="shared" si="7"/>
        <v>432</v>
      </c>
      <c r="B433" s="90" t="s">
        <v>763</v>
      </c>
      <c r="C433" s="87" t="s">
        <v>12</v>
      </c>
      <c r="D433" s="5" t="s">
        <v>177</v>
      </c>
      <c r="E433" s="5" t="s">
        <v>14</v>
      </c>
      <c r="F433" s="7" t="s">
        <v>756</v>
      </c>
      <c r="G433" s="41" t="s">
        <v>98</v>
      </c>
      <c r="H433" s="5" t="s">
        <v>16</v>
      </c>
      <c r="I433" s="87"/>
      <c r="J433" s="5" t="s">
        <v>131</v>
      </c>
      <c r="K433" s="44" t="s">
        <v>850</v>
      </c>
      <c r="L433" s="44" t="s">
        <v>114</v>
      </c>
      <c r="M433" s="44" t="s">
        <v>814</v>
      </c>
    </row>
    <row r="434" spans="1:13" s="5" customFormat="1" x14ac:dyDescent="0.25">
      <c r="A434" s="39">
        <f t="shared" si="7"/>
        <v>433</v>
      </c>
      <c r="B434" s="90" t="s">
        <v>763</v>
      </c>
      <c r="C434" s="87" t="s">
        <v>12</v>
      </c>
      <c r="D434" s="5" t="s">
        <v>177</v>
      </c>
      <c r="E434" s="5" t="s">
        <v>14</v>
      </c>
      <c r="F434" s="7" t="s">
        <v>756</v>
      </c>
      <c r="G434" s="41" t="s">
        <v>15</v>
      </c>
      <c r="H434" s="52" t="s">
        <v>16</v>
      </c>
      <c r="I434" s="87"/>
      <c r="J434" s="5" t="s">
        <v>17</v>
      </c>
      <c r="K434" s="44" t="s">
        <v>521</v>
      </c>
      <c r="L434" s="91" t="s">
        <v>851</v>
      </c>
      <c r="M434" s="44" t="s">
        <v>522</v>
      </c>
    </row>
    <row r="435" spans="1:13" s="5" customFormat="1" x14ac:dyDescent="0.25">
      <c r="A435" s="39">
        <f t="shared" si="7"/>
        <v>434</v>
      </c>
      <c r="B435" s="90" t="s">
        <v>764</v>
      </c>
      <c r="C435" s="87" t="s">
        <v>12</v>
      </c>
      <c r="D435" s="5" t="s">
        <v>177</v>
      </c>
      <c r="E435" s="5" t="s">
        <v>14</v>
      </c>
      <c r="F435" s="5" t="s">
        <v>523</v>
      </c>
      <c r="G435" s="41" t="s">
        <v>98</v>
      </c>
      <c r="H435" s="52" t="s">
        <v>16</v>
      </c>
      <c r="I435" s="87"/>
      <c r="J435" s="5" t="s">
        <v>17</v>
      </c>
      <c r="K435" s="44" t="s">
        <v>526</v>
      </c>
      <c r="L435" s="44" t="s">
        <v>114</v>
      </c>
      <c r="M435" s="44" t="s">
        <v>527</v>
      </c>
    </row>
    <row r="436" spans="1:13" s="5" customFormat="1" ht="30" x14ac:dyDescent="0.25">
      <c r="A436" s="39">
        <f t="shared" si="7"/>
        <v>435</v>
      </c>
      <c r="B436" s="90" t="s">
        <v>764</v>
      </c>
      <c r="C436" s="87" t="s">
        <v>12</v>
      </c>
      <c r="D436" s="5" t="s">
        <v>177</v>
      </c>
      <c r="E436" s="5" t="s">
        <v>14</v>
      </c>
      <c r="F436" s="5" t="s">
        <v>523</v>
      </c>
      <c r="G436" s="41" t="s">
        <v>98</v>
      </c>
      <c r="H436" s="52" t="s">
        <v>16</v>
      </c>
      <c r="I436" s="87"/>
      <c r="J436" s="5" t="s">
        <v>17</v>
      </c>
      <c r="K436" s="172" t="s">
        <v>83</v>
      </c>
      <c r="L436" s="172" t="s">
        <v>528</v>
      </c>
      <c r="M436" s="172" t="s">
        <v>524</v>
      </c>
    </row>
    <row r="437" spans="1:13" s="5" customFormat="1" ht="30" x14ac:dyDescent="0.25">
      <c r="A437" s="39">
        <f t="shared" si="7"/>
        <v>436</v>
      </c>
      <c r="B437" s="90" t="s">
        <v>764</v>
      </c>
      <c r="C437" s="87" t="s">
        <v>12</v>
      </c>
      <c r="D437" s="5" t="s">
        <v>177</v>
      </c>
      <c r="E437" s="5" t="s">
        <v>14</v>
      </c>
      <c r="F437" s="5" t="s">
        <v>523</v>
      </c>
      <c r="G437" s="41" t="s">
        <v>98</v>
      </c>
      <c r="H437" s="52" t="s">
        <v>233</v>
      </c>
      <c r="I437" s="87" t="s">
        <v>500</v>
      </c>
      <c r="J437" s="5" t="s">
        <v>17</v>
      </c>
      <c r="K437" s="172" t="s">
        <v>529</v>
      </c>
      <c r="L437" s="44" t="s">
        <v>33</v>
      </c>
      <c r="M437" s="172" t="s">
        <v>530</v>
      </c>
    </row>
    <row r="438" spans="1:13" s="5" customFormat="1" x14ac:dyDescent="0.25">
      <c r="A438" s="8">
        <f t="shared" si="7"/>
        <v>437</v>
      </c>
      <c r="B438" s="32" t="s">
        <v>765</v>
      </c>
      <c r="C438" s="85" t="s">
        <v>12</v>
      </c>
      <c r="D438" s="9" t="s">
        <v>13</v>
      </c>
      <c r="E438" s="9" t="s">
        <v>14</v>
      </c>
      <c r="F438" s="9" t="s">
        <v>536</v>
      </c>
      <c r="G438" s="11" t="s">
        <v>15</v>
      </c>
      <c r="H438" s="9" t="s">
        <v>63</v>
      </c>
      <c r="I438" s="87"/>
      <c r="K438" s="44"/>
      <c r="M438" s="44"/>
    </row>
    <row r="439" spans="1:13" s="5" customFormat="1" x14ac:dyDescent="0.25">
      <c r="A439" s="39">
        <f t="shared" si="7"/>
        <v>438</v>
      </c>
      <c r="B439" s="45" t="s">
        <v>765</v>
      </c>
      <c r="C439" s="87" t="s">
        <v>12</v>
      </c>
      <c r="D439" s="5" t="s">
        <v>13</v>
      </c>
      <c r="E439" s="5" t="s">
        <v>14</v>
      </c>
      <c r="F439" s="5" t="s">
        <v>536</v>
      </c>
      <c r="G439" s="41" t="s">
        <v>96</v>
      </c>
      <c r="H439" s="41" t="s">
        <v>16</v>
      </c>
      <c r="I439" s="87"/>
      <c r="K439" s="44"/>
      <c r="M439" s="44"/>
    </row>
    <row r="440" spans="1:13" s="5" customFormat="1" x14ac:dyDescent="0.25">
      <c r="A440" s="39">
        <f t="shared" si="7"/>
        <v>439</v>
      </c>
      <c r="B440" s="45" t="s">
        <v>765</v>
      </c>
      <c r="C440" s="87" t="s">
        <v>12</v>
      </c>
      <c r="D440" s="5" t="s">
        <v>13</v>
      </c>
      <c r="E440" s="5" t="s">
        <v>14</v>
      </c>
      <c r="F440" s="5" t="s">
        <v>536</v>
      </c>
      <c r="G440" s="41" t="s">
        <v>15</v>
      </c>
      <c r="H440" s="5" t="s">
        <v>16</v>
      </c>
      <c r="I440" s="87"/>
      <c r="J440" s="5" t="s">
        <v>813</v>
      </c>
      <c r="K440" s="44"/>
      <c r="M440" s="44" t="s">
        <v>811</v>
      </c>
    </row>
    <row r="441" spans="1:13" s="5" customFormat="1" x14ac:dyDescent="0.25">
      <c r="A441" s="8">
        <f t="shared" si="7"/>
        <v>440</v>
      </c>
      <c r="B441" s="32" t="s">
        <v>765</v>
      </c>
      <c r="C441" s="85" t="s">
        <v>12</v>
      </c>
      <c r="D441" s="9" t="s">
        <v>13</v>
      </c>
      <c r="E441" s="9" t="s">
        <v>14</v>
      </c>
      <c r="F441" s="9" t="s">
        <v>536</v>
      </c>
      <c r="G441" s="11" t="s">
        <v>15</v>
      </c>
      <c r="H441" s="9" t="s">
        <v>63</v>
      </c>
      <c r="I441" s="42"/>
      <c r="K441" s="44"/>
      <c r="M441" s="44"/>
    </row>
    <row r="442" spans="1:13" s="5" customFormat="1" x14ac:dyDescent="0.25">
      <c r="A442" s="39">
        <f t="shared" si="7"/>
        <v>441</v>
      </c>
      <c r="B442" s="45" t="s">
        <v>765</v>
      </c>
      <c r="C442" s="87" t="s">
        <v>12</v>
      </c>
      <c r="D442" s="5" t="s">
        <v>13</v>
      </c>
      <c r="E442" s="5" t="s">
        <v>14</v>
      </c>
      <c r="F442" s="5" t="s">
        <v>536</v>
      </c>
      <c r="G442" s="41" t="s">
        <v>15</v>
      </c>
      <c r="H442" s="5" t="s">
        <v>16</v>
      </c>
      <c r="I442" s="87"/>
      <c r="J442" s="5" t="s">
        <v>31</v>
      </c>
      <c r="K442" s="44"/>
      <c r="M442" s="44" t="s">
        <v>811</v>
      </c>
    </row>
    <row r="443" spans="1:13" s="5" customFormat="1" x14ac:dyDescent="0.25">
      <c r="A443" s="39">
        <f t="shared" si="7"/>
        <v>442</v>
      </c>
      <c r="B443" s="45" t="s">
        <v>765</v>
      </c>
      <c r="C443" s="87" t="s">
        <v>12</v>
      </c>
      <c r="D443" s="5" t="s">
        <v>13</v>
      </c>
      <c r="E443" s="5" t="s">
        <v>14</v>
      </c>
      <c r="F443" s="5" t="s">
        <v>536</v>
      </c>
      <c r="G443" s="41" t="s">
        <v>15</v>
      </c>
      <c r="H443" s="41" t="s">
        <v>16</v>
      </c>
      <c r="I443" s="42" t="s">
        <v>537</v>
      </c>
      <c r="J443" s="5" t="s">
        <v>17</v>
      </c>
      <c r="K443" s="44" t="s">
        <v>781</v>
      </c>
      <c r="L443" s="5" t="s">
        <v>114</v>
      </c>
      <c r="M443" s="172" t="s">
        <v>538</v>
      </c>
    </row>
    <row r="444" spans="1:13" s="5" customFormat="1" x14ac:dyDescent="0.25">
      <c r="A444" s="39">
        <f t="shared" si="7"/>
        <v>443</v>
      </c>
      <c r="B444" s="45" t="s">
        <v>765</v>
      </c>
      <c r="C444" s="87" t="s">
        <v>12</v>
      </c>
      <c r="D444" s="5" t="s">
        <v>13</v>
      </c>
      <c r="E444" s="5" t="s">
        <v>14</v>
      </c>
      <c r="F444" s="5" t="s">
        <v>536</v>
      </c>
      <c r="G444" s="41" t="s">
        <v>15</v>
      </c>
      <c r="H444" s="41" t="s">
        <v>16</v>
      </c>
      <c r="I444" s="87"/>
      <c r="J444" s="5" t="s">
        <v>17</v>
      </c>
      <c r="K444" s="44" t="s">
        <v>428</v>
      </c>
      <c r="L444" s="5" t="s">
        <v>852</v>
      </c>
      <c r="M444" s="44" t="s">
        <v>810</v>
      </c>
    </row>
    <row r="445" spans="1:13" s="5" customFormat="1" x14ac:dyDescent="0.25">
      <c r="A445" s="14">
        <f t="shared" si="7"/>
        <v>444</v>
      </c>
      <c r="B445" s="33" t="s">
        <v>765</v>
      </c>
      <c r="C445" s="86" t="s">
        <v>12</v>
      </c>
      <c r="D445" s="15" t="s">
        <v>13</v>
      </c>
      <c r="E445" s="15" t="s">
        <v>14</v>
      </c>
      <c r="F445" s="15" t="s">
        <v>536</v>
      </c>
      <c r="G445" s="18" t="s">
        <v>15</v>
      </c>
      <c r="H445" s="20" t="s">
        <v>122</v>
      </c>
      <c r="I445" s="86"/>
      <c r="J445" s="15"/>
      <c r="K445" s="16"/>
      <c r="L445" s="15"/>
      <c r="M445" s="16"/>
    </row>
    <row r="446" spans="1:13" s="5" customFormat="1" x14ac:dyDescent="0.25">
      <c r="A446" s="8">
        <f t="shared" si="7"/>
        <v>445</v>
      </c>
      <c r="B446" s="32" t="s">
        <v>765</v>
      </c>
      <c r="C446" s="85" t="s">
        <v>12</v>
      </c>
      <c r="D446" s="9" t="s">
        <v>13</v>
      </c>
      <c r="E446" s="9" t="s">
        <v>14</v>
      </c>
      <c r="F446" s="9" t="s">
        <v>536</v>
      </c>
      <c r="G446" s="11" t="s">
        <v>15</v>
      </c>
      <c r="H446" s="9" t="s">
        <v>63</v>
      </c>
      <c r="I446" s="87"/>
      <c r="K446" s="44"/>
      <c r="M446" s="44"/>
    </row>
    <row r="447" spans="1:13" s="5" customFormat="1" x14ac:dyDescent="0.25">
      <c r="A447" s="39">
        <f t="shared" si="7"/>
        <v>446</v>
      </c>
      <c r="B447" s="45" t="s">
        <v>765</v>
      </c>
      <c r="C447" s="87" t="s">
        <v>12</v>
      </c>
      <c r="D447" s="5" t="s">
        <v>13</v>
      </c>
      <c r="E447" s="5" t="s">
        <v>14</v>
      </c>
      <c r="F447" s="5" t="s">
        <v>536</v>
      </c>
      <c r="G447" s="41" t="s">
        <v>15</v>
      </c>
      <c r="H447" s="46" t="s">
        <v>26</v>
      </c>
      <c r="I447" s="87" t="s">
        <v>539</v>
      </c>
      <c r="K447" s="44"/>
      <c r="M447" s="44"/>
    </row>
    <row r="448" spans="1:13" s="5" customFormat="1" x14ac:dyDescent="0.25">
      <c r="A448" s="39">
        <f t="shared" si="7"/>
        <v>447</v>
      </c>
      <c r="B448" s="45" t="s">
        <v>765</v>
      </c>
      <c r="C448" s="87" t="s">
        <v>12</v>
      </c>
      <c r="D448" s="5" t="s">
        <v>13</v>
      </c>
      <c r="E448" s="5" t="s">
        <v>14</v>
      </c>
      <c r="F448" s="5" t="s">
        <v>536</v>
      </c>
      <c r="G448" s="41" t="s">
        <v>15</v>
      </c>
      <c r="H448" s="5" t="s">
        <v>16</v>
      </c>
      <c r="I448" s="87"/>
      <c r="J448" s="5" t="s">
        <v>801</v>
      </c>
      <c r="K448" s="44" t="s">
        <v>808</v>
      </c>
      <c r="M448" s="44" t="s">
        <v>809</v>
      </c>
    </row>
    <row r="449" spans="1:13" s="5" customFormat="1" x14ac:dyDescent="0.25">
      <c r="A449" s="39">
        <f t="shared" si="7"/>
        <v>448</v>
      </c>
      <c r="B449" s="45" t="s">
        <v>765</v>
      </c>
      <c r="C449" s="87" t="s">
        <v>12</v>
      </c>
      <c r="D449" s="5" t="s">
        <v>13</v>
      </c>
      <c r="E449" s="5" t="s">
        <v>14</v>
      </c>
      <c r="F449" s="5" t="s">
        <v>536</v>
      </c>
      <c r="G449" s="41" t="s">
        <v>98</v>
      </c>
      <c r="H449" s="5" t="s">
        <v>16</v>
      </c>
      <c r="I449" s="87"/>
      <c r="J449" s="5" t="s">
        <v>17</v>
      </c>
      <c r="K449" s="44" t="s">
        <v>807</v>
      </c>
      <c r="M449" s="44"/>
    </row>
    <row r="450" spans="1:13" s="5" customFormat="1" x14ac:dyDescent="0.25">
      <c r="A450" s="39">
        <f t="shared" si="7"/>
        <v>449</v>
      </c>
      <c r="B450" s="45" t="s">
        <v>765</v>
      </c>
      <c r="C450" s="87" t="s">
        <v>12</v>
      </c>
      <c r="D450" s="5" t="s">
        <v>13</v>
      </c>
      <c r="E450" s="5" t="s">
        <v>14</v>
      </c>
      <c r="F450" s="5" t="s">
        <v>540</v>
      </c>
      <c r="G450" s="41" t="s">
        <v>98</v>
      </c>
      <c r="H450" s="41" t="s">
        <v>16</v>
      </c>
      <c r="I450" s="87"/>
      <c r="K450" s="44"/>
      <c r="M450" s="44"/>
    </row>
    <row r="451" spans="1:13" s="5" customFormat="1" x14ac:dyDescent="0.25">
      <c r="A451" s="39">
        <f t="shared" si="7"/>
        <v>450</v>
      </c>
      <c r="B451" s="45" t="s">
        <v>765</v>
      </c>
      <c r="C451" s="87" t="s">
        <v>12</v>
      </c>
      <c r="D451" s="5" t="s">
        <v>13</v>
      </c>
      <c r="E451" s="5" t="s">
        <v>14</v>
      </c>
      <c r="F451" s="5" t="s">
        <v>540</v>
      </c>
      <c r="G451" s="41" t="s">
        <v>15</v>
      </c>
      <c r="H451" s="41" t="s">
        <v>30</v>
      </c>
      <c r="I451" s="87" t="s">
        <v>542</v>
      </c>
      <c r="J451" s="5" t="s">
        <v>161</v>
      </c>
      <c r="K451" s="172" t="s">
        <v>543</v>
      </c>
      <c r="M451" s="44"/>
    </row>
    <row r="452" spans="1:13" s="5" customFormat="1" x14ac:dyDescent="0.25">
      <c r="A452" s="39">
        <f t="shared" si="7"/>
        <v>451</v>
      </c>
      <c r="B452" s="45" t="s">
        <v>765</v>
      </c>
      <c r="C452" s="87" t="s">
        <v>12</v>
      </c>
      <c r="D452" s="5" t="s">
        <v>13</v>
      </c>
      <c r="E452" s="5" t="s">
        <v>14</v>
      </c>
      <c r="F452" s="5" t="s">
        <v>540</v>
      </c>
      <c r="G452" s="41" t="s">
        <v>15</v>
      </c>
      <c r="H452" s="5" t="s">
        <v>761</v>
      </c>
      <c r="I452" s="87"/>
      <c r="K452" s="44"/>
      <c r="L452" s="42"/>
      <c r="M452" s="44"/>
    </row>
    <row r="453" spans="1:13" s="5" customFormat="1" x14ac:dyDescent="0.25">
      <c r="A453" s="39">
        <f t="shared" si="7"/>
        <v>452</v>
      </c>
      <c r="B453" s="45" t="s">
        <v>765</v>
      </c>
      <c r="C453" s="87" t="s">
        <v>12</v>
      </c>
      <c r="D453" s="5" t="s">
        <v>13</v>
      </c>
      <c r="E453" s="5" t="s">
        <v>14</v>
      </c>
      <c r="F453" s="5" t="s">
        <v>540</v>
      </c>
      <c r="G453" s="41" t="s">
        <v>96</v>
      </c>
      <c r="H453" s="41" t="s">
        <v>16</v>
      </c>
      <c r="I453" s="87"/>
      <c r="J453" s="5" t="s">
        <v>544</v>
      </c>
      <c r="K453" s="172" t="s">
        <v>545</v>
      </c>
      <c r="L453" s="42" t="s">
        <v>799</v>
      </c>
      <c r="M453" s="172" t="s">
        <v>546</v>
      </c>
    </row>
    <row r="454" spans="1:13" s="5" customFormat="1" x14ac:dyDescent="0.25">
      <c r="A454" s="39">
        <f t="shared" si="7"/>
        <v>453</v>
      </c>
      <c r="B454" s="45" t="s">
        <v>765</v>
      </c>
      <c r="C454" s="87" t="s">
        <v>12</v>
      </c>
      <c r="D454" s="5" t="s">
        <v>13</v>
      </c>
      <c r="E454" s="5" t="s">
        <v>14</v>
      </c>
      <c r="F454" s="5" t="s">
        <v>540</v>
      </c>
      <c r="G454" s="41" t="s">
        <v>96</v>
      </c>
      <c r="H454" s="41" t="s">
        <v>16</v>
      </c>
      <c r="I454" s="87"/>
      <c r="J454" s="5" t="s">
        <v>434</v>
      </c>
      <c r="K454" s="172" t="s">
        <v>547</v>
      </c>
      <c r="L454" s="42"/>
      <c r="M454" s="172" t="s">
        <v>548</v>
      </c>
    </row>
    <row r="455" spans="1:13" s="5" customFormat="1" x14ac:dyDescent="0.25">
      <c r="A455" s="39">
        <f t="shared" si="7"/>
        <v>454</v>
      </c>
      <c r="B455" s="45" t="s">
        <v>765</v>
      </c>
      <c r="C455" s="87" t="s">
        <v>12</v>
      </c>
      <c r="D455" s="5" t="s">
        <v>13</v>
      </c>
      <c r="E455" s="5" t="s">
        <v>14</v>
      </c>
      <c r="F455" s="5" t="s">
        <v>540</v>
      </c>
      <c r="G455" s="41" t="s">
        <v>15</v>
      </c>
      <c r="H455" s="46" t="s">
        <v>26</v>
      </c>
      <c r="I455" s="87" t="s">
        <v>22</v>
      </c>
      <c r="K455" s="44"/>
      <c r="M455" s="44"/>
    </row>
    <row r="456" spans="1:13" s="5" customFormat="1" x14ac:dyDescent="0.25">
      <c r="A456" s="39">
        <f t="shared" si="7"/>
        <v>455</v>
      </c>
      <c r="B456" s="45" t="s">
        <v>765</v>
      </c>
      <c r="C456" s="87" t="s">
        <v>12</v>
      </c>
      <c r="D456" s="5" t="s">
        <v>13</v>
      </c>
      <c r="E456" s="5" t="s">
        <v>14</v>
      </c>
      <c r="F456" s="5" t="s">
        <v>540</v>
      </c>
      <c r="G456" s="41" t="s">
        <v>98</v>
      </c>
      <c r="H456" s="5" t="s">
        <v>725</v>
      </c>
      <c r="I456" s="87"/>
      <c r="J456" s="5" t="s">
        <v>434</v>
      </c>
      <c r="K456" s="44" t="s">
        <v>781</v>
      </c>
      <c r="L456" s="5" t="s">
        <v>731</v>
      </c>
      <c r="M456" s="44"/>
    </row>
    <row r="457" spans="1:13" s="5" customFormat="1" x14ac:dyDescent="0.25">
      <c r="A457" s="39">
        <f t="shared" si="7"/>
        <v>456</v>
      </c>
      <c r="B457" s="45" t="s">
        <v>765</v>
      </c>
      <c r="C457" s="87" t="s">
        <v>12</v>
      </c>
      <c r="D457" s="5" t="s">
        <v>13</v>
      </c>
      <c r="E457" s="5" t="s">
        <v>14</v>
      </c>
      <c r="F457" s="5" t="s">
        <v>540</v>
      </c>
      <c r="G457" s="41" t="s">
        <v>98</v>
      </c>
      <c r="H457" s="41" t="s">
        <v>16</v>
      </c>
      <c r="I457" s="87"/>
      <c r="J457" s="5" t="s">
        <v>17</v>
      </c>
      <c r="K457" s="44" t="s">
        <v>806</v>
      </c>
      <c r="L457" s="5" t="s">
        <v>114</v>
      </c>
      <c r="M457" s="44" t="s">
        <v>845</v>
      </c>
    </row>
    <row r="458" spans="1:13" s="5" customFormat="1" x14ac:dyDescent="0.25">
      <c r="A458" s="39">
        <f t="shared" si="7"/>
        <v>457</v>
      </c>
      <c r="B458" s="45" t="s">
        <v>765</v>
      </c>
      <c r="C458" s="87" t="s">
        <v>12</v>
      </c>
      <c r="D458" s="5" t="s">
        <v>13</v>
      </c>
      <c r="E458" s="5" t="s">
        <v>14</v>
      </c>
      <c r="F458" s="5" t="s">
        <v>540</v>
      </c>
      <c r="G458" s="41" t="s">
        <v>96</v>
      </c>
      <c r="H458" s="41" t="s">
        <v>30</v>
      </c>
      <c r="I458" s="87" t="s">
        <v>482</v>
      </c>
      <c r="J458" s="5" t="s">
        <v>71</v>
      </c>
      <c r="K458" s="44"/>
      <c r="L458" s="42"/>
      <c r="M458" s="172" t="s">
        <v>844</v>
      </c>
    </row>
    <row r="459" spans="1:13" s="5" customFormat="1" x14ac:dyDescent="0.25">
      <c r="A459" s="39">
        <f t="shared" si="7"/>
        <v>458</v>
      </c>
      <c r="B459" s="45" t="s">
        <v>765</v>
      </c>
      <c r="C459" s="87" t="s">
        <v>12</v>
      </c>
      <c r="D459" s="5" t="s">
        <v>13</v>
      </c>
      <c r="E459" s="5" t="s">
        <v>14</v>
      </c>
      <c r="F459" s="5" t="s">
        <v>540</v>
      </c>
      <c r="G459" s="41" t="s">
        <v>15</v>
      </c>
      <c r="H459" s="41" t="s">
        <v>16</v>
      </c>
      <c r="I459" s="42"/>
      <c r="J459" s="5" t="s">
        <v>31</v>
      </c>
      <c r="K459" s="44" t="s">
        <v>549</v>
      </c>
      <c r="M459" s="172" t="s">
        <v>550</v>
      </c>
    </row>
    <row r="460" spans="1:13" s="5" customFormat="1" x14ac:dyDescent="0.25">
      <c r="A460" s="39">
        <f t="shared" si="7"/>
        <v>459</v>
      </c>
      <c r="B460" s="45" t="s">
        <v>765</v>
      </c>
      <c r="C460" s="87" t="s">
        <v>12</v>
      </c>
      <c r="D460" s="5" t="s">
        <v>13</v>
      </c>
      <c r="E460" s="5" t="s">
        <v>14</v>
      </c>
      <c r="F460" s="5" t="s">
        <v>540</v>
      </c>
      <c r="G460" s="41" t="s">
        <v>98</v>
      </c>
      <c r="H460" s="42" t="s">
        <v>728</v>
      </c>
      <c r="I460" s="42" t="s">
        <v>726</v>
      </c>
      <c r="J460" s="5" t="s">
        <v>31</v>
      </c>
      <c r="K460" s="44" t="s">
        <v>727</v>
      </c>
      <c r="M460" s="44" t="s">
        <v>733</v>
      </c>
    </row>
    <row r="461" spans="1:13" s="5" customFormat="1" x14ac:dyDescent="0.25">
      <c r="A461" s="39">
        <f t="shared" si="7"/>
        <v>460</v>
      </c>
      <c r="B461" s="45" t="s">
        <v>765</v>
      </c>
      <c r="C461" s="87" t="s">
        <v>12</v>
      </c>
      <c r="D461" s="5" t="s">
        <v>13</v>
      </c>
      <c r="E461" s="5" t="s">
        <v>14</v>
      </c>
      <c r="F461" s="5" t="s">
        <v>540</v>
      </c>
      <c r="G461" s="41" t="s">
        <v>98</v>
      </c>
      <c r="H461" s="41" t="s">
        <v>26</v>
      </c>
      <c r="I461" s="87" t="s">
        <v>482</v>
      </c>
      <c r="K461" s="44"/>
      <c r="L461" s="42"/>
      <c r="M461" s="44"/>
    </row>
    <row r="462" spans="1:13" s="5" customFormat="1" x14ac:dyDescent="0.25">
      <c r="A462" s="14">
        <f t="shared" si="7"/>
        <v>461</v>
      </c>
      <c r="B462" s="33" t="s">
        <v>765</v>
      </c>
      <c r="C462" s="86" t="s">
        <v>12</v>
      </c>
      <c r="D462" s="15" t="s">
        <v>13</v>
      </c>
      <c r="E462" s="15" t="s">
        <v>14</v>
      </c>
      <c r="F462" s="15" t="s">
        <v>540</v>
      </c>
      <c r="G462" s="18" t="s">
        <v>98</v>
      </c>
      <c r="H462" s="19" t="s">
        <v>122</v>
      </c>
      <c r="I462" s="86"/>
      <c r="J462" s="15"/>
      <c r="K462" s="16"/>
      <c r="L462" s="15"/>
      <c r="M462" s="16"/>
    </row>
    <row r="463" spans="1:13" s="5" customFormat="1" ht="45" x14ac:dyDescent="0.25">
      <c r="A463" s="39">
        <f t="shared" si="7"/>
        <v>462</v>
      </c>
      <c r="B463" s="45" t="s">
        <v>765</v>
      </c>
      <c r="C463" s="87" t="s">
        <v>12</v>
      </c>
      <c r="D463" s="5" t="s">
        <v>13</v>
      </c>
      <c r="E463" s="5" t="s">
        <v>14</v>
      </c>
      <c r="F463" s="5" t="s">
        <v>540</v>
      </c>
      <c r="G463" s="41" t="s">
        <v>15</v>
      </c>
      <c r="H463" s="41" t="s">
        <v>30</v>
      </c>
      <c r="I463" s="87" t="s">
        <v>22</v>
      </c>
      <c r="J463" s="5" t="s">
        <v>17</v>
      </c>
      <c r="K463" s="172" t="s">
        <v>551</v>
      </c>
      <c r="L463" s="42"/>
      <c r="M463" s="172" t="s">
        <v>552</v>
      </c>
    </row>
    <row r="464" spans="1:13" s="5" customFormat="1" x14ac:dyDescent="0.25">
      <c r="A464" s="39">
        <f t="shared" si="7"/>
        <v>463</v>
      </c>
      <c r="B464" s="45" t="s">
        <v>765</v>
      </c>
      <c r="C464" s="87" t="s">
        <v>12</v>
      </c>
      <c r="D464" s="5" t="s">
        <v>13</v>
      </c>
      <c r="E464" s="5" t="s">
        <v>14</v>
      </c>
      <c r="F464" s="5" t="s">
        <v>540</v>
      </c>
      <c r="G464" s="41" t="s">
        <v>98</v>
      </c>
      <c r="H464" s="41" t="s">
        <v>16</v>
      </c>
      <c r="I464" s="87"/>
      <c r="J464" s="44" t="s">
        <v>17</v>
      </c>
      <c r="K464" s="172" t="s">
        <v>18</v>
      </c>
      <c r="L464" s="42" t="s">
        <v>125</v>
      </c>
      <c r="M464" s="172" t="s">
        <v>553</v>
      </c>
    </row>
    <row r="465" spans="1:13" s="5" customFormat="1" x14ac:dyDescent="0.25">
      <c r="A465" s="39">
        <f t="shared" si="7"/>
        <v>464</v>
      </c>
      <c r="B465" s="45" t="s">
        <v>765</v>
      </c>
      <c r="C465" s="87" t="s">
        <v>12</v>
      </c>
      <c r="D465" s="5" t="s">
        <v>13</v>
      </c>
      <c r="E465" s="5" t="s">
        <v>14</v>
      </c>
      <c r="F465" s="5" t="s">
        <v>540</v>
      </c>
      <c r="G465" s="41" t="s">
        <v>98</v>
      </c>
      <c r="H465" s="5" t="s">
        <v>729</v>
      </c>
      <c r="I465" s="87"/>
      <c r="J465" s="42"/>
      <c r="K465" s="44" t="s">
        <v>730</v>
      </c>
      <c r="M465" s="44"/>
    </row>
    <row r="466" spans="1:13" s="5" customFormat="1" x14ac:dyDescent="0.25">
      <c r="A466" s="39">
        <f t="shared" si="7"/>
        <v>465</v>
      </c>
      <c r="B466" s="45" t="s">
        <v>765</v>
      </c>
      <c r="C466" s="87" t="s">
        <v>12</v>
      </c>
      <c r="D466" s="5" t="s">
        <v>13</v>
      </c>
      <c r="E466" s="5" t="s">
        <v>14</v>
      </c>
      <c r="F466" s="5" t="s">
        <v>540</v>
      </c>
      <c r="G466" s="41" t="s">
        <v>98</v>
      </c>
      <c r="H466" s="46" t="s">
        <v>30</v>
      </c>
      <c r="I466" s="87" t="s">
        <v>22</v>
      </c>
      <c r="K466" s="44"/>
      <c r="M466" s="44" t="s">
        <v>554</v>
      </c>
    </row>
    <row r="467" spans="1:13" s="5" customFormat="1" x14ac:dyDescent="0.25">
      <c r="A467" s="39">
        <f t="shared" si="7"/>
        <v>466</v>
      </c>
      <c r="B467" s="45" t="s">
        <v>765</v>
      </c>
      <c r="C467" s="87" t="s">
        <v>12</v>
      </c>
      <c r="D467" s="5" t="s">
        <v>13</v>
      </c>
      <c r="E467" s="5" t="s">
        <v>14</v>
      </c>
      <c r="F467" s="5" t="s">
        <v>540</v>
      </c>
      <c r="G467" s="41" t="s">
        <v>98</v>
      </c>
      <c r="H467" s="41" t="s">
        <v>16</v>
      </c>
      <c r="I467" s="87"/>
      <c r="K467" s="172" t="s">
        <v>555</v>
      </c>
      <c r="L467" s="5" t="s">
        <v>799</v>
      </c>
      <c r="M467" s="172" t="s">
        <v>265</v>
      </c>
    </row>
    <row r="468" spans="1:13" s="5" customFormat="1" x14ac:dyDescent="0.25">
      <c r="A468" s="39">
        <f t="shared" si="7"/>
        <v>467</v>
      </c>
      <c r="B468" s="45" t="s">
        <v>765</v>
      </c>
      <c r="C468" s="87" t="s">
        <v>12</v>
      </c>
      <c r="D468" s="5" t="s">
        <v>13</v>
      </c>
      <c r="E468" s="5" t="s">
        <v>14</v>
      </c>
      <c r="F468" s="5" t="s">
        <v>540</v>
      </c>
      <c r="G468" s="41" t="s">
        <v>98</v>
      </c>
      <c r="H468" s="46" t="s">
        <v>26</v>
      </c>
      <c r="I468" s="87" t="s">
        <v>22</v>
      </c>
      <c r="K468" s="44"/>
      <c r="M468" s="44"/>
    </row>
    <row r="469" spans="1:13" s="5" customFormat="1" x14ac:dyDescent="0.25">
      <c r="A469" s="39">
        <f t="shared" si="7"/>
        <v>468</v>
      </c>
      <c r="B469" s="45" t="s">
        <v>765</v>
      </c>
      <c r="C469" s="87" t="s">
        <v>12</v>
      </c>
      <c r="D469" s="5" t="s">
        <v>13</v>
      </c>
      <c r="E469" s="5" t="s">
        <v>14</v>
      </c>
      <c r="F469" s="5" t="s">
        <v>540</v>
      </c>
      <c r="G469" s="41" t="s">
        <v>98</v>
      </c>
      <c r="H469" s="41" t="s">
        <v>16</v>
      </c>
      <c r="I469" s="87"/>
      <c r="J469" s="5" t="s">
        <v>17</v>
      </c>
      <c r="K469" s="172" t="s">
        <v>804</v>
      </c>
      <c r="M469" s="44" t="s">
        <v>805</v>
      </c>
    </row>
    <row r="470" spans="1:13" s="5" customFormat="1" x14ac:dyDescent="0.25">
      <c r="A470" s="8">
        <f t="shared" si="7"/>
        <v>469</v>
      </c>
      <c r="B470" s="32" t="s">
        <v>765</v>
      </c>
      <c r="C470" s="85" t="s">
        <v>12</v>
      </c>
      <c r="D470" s="9" t="s">
        <v>127</v>
      </c>
      <c r="E470" s="9" t="s">
        <v>14</v>
      </c>
      <c r="F470" s="12" t="s">
        <v>629</v>
      </c>
      <c r="G470" s="11" t="s">
        <v>15</v>
      </c>
      <c r="H470" s="21" t="s">
        <v>63</v>
      </c>
      <c r="I470" s="87" t="s">
        <v>646</v>
      </c>
      <c r="K470" s="44"/>
      <c r="M470" s="44"/>
    </row>
    <row r="471" spans="1:13" s="5" customFormat="1" x14ac:dyDescent="0.25">
      <c r="A471" s="39">
        <f t="shared" si="7"/>
        <v>470</v>
      </c>
      <c r="B471" s="45" t="s">
        <v>765</v>
      </c>
      <c r="C471" s="87" t="s">
        <v>12</v>
      </c>
      <c r="D471" s="5" t="s">
        <v>13</v>
      </c>
      <c r="E471" s="5" t="s">
        <v>14</v>
      </c>
      <c r="F471" s="5" t="s">
        <v>556</v>
      </c>
      <c r="G471" s="41" t="s">
        <v>15</v>
      </c>
      <c r="H471" s="41" t="s">
        <v>16</v>
      </c>
      <c r="I471" s="87"/>
      <c r="J471" s="5" t="s">
        <v>17</v>
      </c>
      <c r="K471" s="44" t="s">
        <v>173</v>
      </c>
      <c r="L471" s="42" t="s">
        <v>114</v>
      </c>
      <c r="M471" s="172" t="s">
        <v>557</v>
      </c>
    </row>
    <row r="472" spans="1:13" s="5" customFormat="1" ht="30" x14ac:dyDescent="0.25">
      <c r="A472" s="39">
        <f t="shared" si="7"/>
        <v>471</v>
      </c>
      <c r="B472" s="45" t="s">
        <v>765</v>
      </c>
      <c r="C472" s="87" t="s">
        <v>12</v>
      </c>
      <c r="D472" s="5" t="s">
        <v>13</v>
      </c>
      <c r="E472" s="5" t="s">
        <v>14</v>
      </c>
      <c r="F472" s="5" t="s">
        <v>556</v>
      </c>
      <c r="G472" s="41" t="s">
        <v>15</v>
      </c>
      <c r="H472" s="41" t="s">
        <v>16</v>
      </c>
      <c r="I472" s="87"/>
      <c r="J472" s="5" t="s">
        <v>31</v>
      </c>
      <c r="K472" s="44" t="s">
        <v>558</v>
      </c>
      <c r="M472" s="172" t="s">
        <v>559</v>
      </c>
    </row>
    <row r="473" spans="1:13" s="5" customFormat="1" x14ac:dyDescent="0.25">
      <c r="A473" s="39">
        <f t="shared" si="7"/>
        <v>472</v>
      </c>
      <c r="B473" s="45" t="s">
        <v>765</v>
      </c>
      <c r="C473" s="87" t="s">
        <v>12</v>
      </c>
      <c r="D473" s="5" t="s">
        <v>13</v>
      </c>
      <c r="E473" s="5" t="s">
        <v>14</v>
      </c>
      <c r="F473" s="5" t="s">
        <v>556</v>
      </c>
      <c r="G473" s="41" t="s">
        <v>15</v>
      </c>
      <c r="H473" s="41" t="s">
        <v>16</v>
      </c>
      <c r="I473" s="87"/>
      <c r="J473" s="5" t="s">
        <v>560</v>
      </c>
      <c r="K473" s="44" t="s">
        <v>853</v>
      </c>
      <c r="M473" s="172" t="s">
        <v>561</v>
      </c>
    </row>
    <row r="474" spans="1:13" s="5" customFormat="1" x14ac:dyDescent="0.25">
      <c r="A474" s="192">
        <f t="shared" si="7"/>
        <v>473</v>
      </c>
      <c r="B474" s="195" t="s">
        <v>765</v>
      </c>
      <c r="C474" s="194" t="s">
        <v>12</v>
      </c>
      <c r="D474" s="193" t="s">
        <v>13</v>
      </c>
      <c r="E474" s="193" t="s">
        <v>14</v>
      </c>
      <c r="F474" s="193" t="s">
        <v>556</v>
      </c>
      <c r="G474" s="197" t="s">
        <v>15</v>
      </c>
      <c r="H474" s="197" t="s">
        <v>67</v>
      </c>
      <c r="I474" s="87"/>
      <c r="K474" s="44"/>
      <c r="M474" s="44"/>
    </row>
    <row r="475" spans="1:13" s="5" customFormat="1" ht="30" x14ac:dyDescent="0.25">
      <c r="A475" s="39">
        <f t="shared" si="7"/>
        <v>474</v>
      </c>
      <c r="B475" s="45" t="s">
        <v>765</v>
      </c>
      <c r="C475" s="87" t="s">
        <v>12</v>
      </c>
      <c r="D475" s="5" t="s">
        <v>13</v>
      </c>
      <c r="E475" s="5" t="s">
        <v>14</v>
      </c>
      <c r="F475" s="5" t="s">
        <v>556</v>
      </c>
      <c r="G475" s="41" t="s">
        <v>15</v>
      </c>
      <c r="H475" s="46" t="s">
        <v>26</v>
      </c>
      <c r="I475" s="42" t="s">
        <v>562</v>
      </c>
      <c r="K475" s="44"/>
      <c r="M475" s="44"/>
    </row>
    <row r="476" spans="1:13" s="5" customFormat="1" x14ac:dyDescent="0.25">
      <c r="A476" s="39">
        <f t="shared" si="7"/>
        <v>475</v>
      </c>
      <c r="B476" s="45" t="s">
        <v>765</v>
      </c>
      <c r="C476" s="87" t="s">
        <v>12</v>
      </c>
      <c r="D476" s="5" t="s">
        <v>13</v>
      </c>
      <c r="E476" s="5" t="s">
        <v>14</v>
      </c>
      <c r="F476" s="5" t="s">
        <v>556</v>
      </c>
      <c r="G476" s="41" t="s">
        <v>15</v>
      </c>
      <c r="H476" s="41" t="s">
        <v>16</v>
      </c>
      <c r="I476" s="87"/>
      <c r="J476" s="5" t="s">
        <v>31</v>
      </c>
      <c r="K476" s="44" t="s">
        <v>563</v>
      </c>
      <c r="M476" s="44"/>
    </row>
    <row r="477" spans="1:13" s="5" customFormat="1" x14ac:dyDescent="0.25">
      <c r="A477" s="39">
        <f t="shared" si="7"/>
        <v>476</v>
      </c>
      <c r="B477" s="45" t="s">
        <v>765</v>
      </c>
      <c r="C477" s="87" t="s">
        <v>12</v>
      </c>
      <c r="D477" s="5" t="s">
        <v>13</v>
      </c>
      <c r="E477" s="5" t="s">
        <v>14</v>
      </c>
      <c r="F477" s="5" t="s">
        <v>556</v>
      </c>
      <c r="G477" s="41" t="s">
        <v>15</v>
      </c>
      <c r="H477" s="46" t="s">
        <v>26</v>
      </c>
      <c r="I477" s="42" t="s">
        <v>564</v>
      </c>
      <c r="K477" s="44"/>
      <c r="M477" s="44"/>
    </row>
    <row r="478" spans="1:13" s="5" customFormat="1" x14ac:dyDescent="0.25">
      <c r="A478" s="39">
        <f t="shared" si="7"/>
        <v>477</v>
      </c>
      <c r="B478" s="39" t="s">
        <v>765</v>
      </c>
      <c r="C478" s="87" t="s">
        <v>12</v>
      </c>
      <c r="D478" s="5" t="s">
        <v>13</v>
      </c>
      <c r="E478" s="5" t="s">
        <v>14</v>
      </c>
      <c r="F478" s="5" t="s">
        <v>556</v>
      </c>
      <c r="G478" s="41" t="s">
        <v>15</v>
      </c>
      <c r="H478" s="41" t="s">
        <v>16</v>
      </c>
      <c r="I478" s="87"/>
      <c r="J478" s="5" t="s">
        <v>815</v>
      </c>
      <c r="K478" s="44" t="s">
        <v>854</v>
      </c>
      <c r="M478" s="44" t="s">
        <v>816</v>
      </c>
    </row>
    <row r="479" spans="1:13" s="5" customFormat="1" x14ac:dyDescent="0.25">
      <c r="A479" s="192">
        <f t="shared" si="7"/>
        <v>478</v>
      </c>
      <c r="B479" s="195" t="s">
        <v>765</v>
      </c>
      <c r="C479" s="194" t="s">
        <v>12</v>
      </c>
      <c r="D479" s="193" t="s">
        <v>13</v>
      </c>
      <c r="E479" s="193" t="s">
        <v>14</v>
      </c>
      <c r="F479" s="193" t="s">
        <v>556</v>
      </c>
      <c r="G479" s="197" t="s">
        <v>15</v>
      </c>
      <c r="H479" s="197" t="s">
        <v>67</v>
      </c>
      <c r="I479" s="87"/>
      <c r="K479" s="44"/>
      <c r="M479" s="44"/>
    </row>
    <row r="480" spans="1:13" s="5" customFormat="1" x14ac:dyDescent="0.25">
      <c r="A480" s="192">
        <f t="shared" si="7"/>
        <v>479</v>
      </c>
      <c r="B480" s="195" t="s">
        <v>765</v>
      </c>
      <c r="C480" s="194" t="s">
        <v>12</v>
      </c>
      <c r="D480" s="193" t="s">
        <v>13</v>
      </c>
      <c r="E480" s="193" t="s">
        <v>14</v>
      </c>
      <c r="F480" s="193" t="s">
        <v>556</v>
      </c>
      <c r="G480" s="197" t="s">
        <v>15</v>
      </c>
      <c r="H480" s="197" t="s">
        <v>67</v>
      </c>
      <c r="I480" s="87"/>
      <c r="K480" s="44"/>
      <c r="M480" s="44"/>
    </row>
    <row r="481" spans="1:13" s="5" customFormat="1" x14ac:dyDescent="0.25">
      <c r="A481" s="39">
        <f t="shared" ref="A481:A544" si="8">A480+1</f>
        <v>480</v>
      </c>
      <c r="B481" s="45" t="s">
        <v>765</v>
      </c>
      <c r="C481" s="87" t="s">
        <v>12</v>
      </c>
      <c r="D481" s="5" t="s">
        <v>13</v>
      </c>
      <c r="E481" s="5" t="s">
        <v>14</v>
      </c>
      <c r="F481" s="5" t="s">
        <v>556</v>
      </c>
      <c r="G481" s="41" t="s">
        <v>15</v>
      </c>
      <c r="H481" s="41" t="s">
        <v>761</v>
      </c>
      <c r="I481" s="87"/>
      <c r="K481" s="44"/>
      <c r="M481" s="44" t="s">
        <v>565</v>
      </c>
    </row>
    <row r="482" spans="1:13" s="5" customFormat="1" x14ac:dyDescent="0.25">
      <c r="A482" s="39">
        <f t="shared" si="8"/>
        <v>481</v>
      </c>
      <c r="B482" s="45" t="s">
        <v>765</v>
      </c>
      <c r="C482" s="87" t="s">
        <v>12</v>
      </c>
      <c r="D482" s="5" t="s">
        <v>13</v>
      </c>
      <c r="E482" s="5" t="s">
        <v>14</v>
      </c>
      <c r="F482" s="5" t="s">
        <v>556</v>
      </c>
      <c r="G482" s="41" t="s">
        <v>15</v>
      </c>
      <c r="H482" s="41" t="s">
        <v>16</v>
      </c>
      <c r="I482" s="87"/>
      <c r="J482" s="5" t="s">
        <v>31</v>
      </c>
      <c r="K482" s="44" t="s">
        <v>566</v>
      </c>
      <c r="M482" s="172" t="s">
        <v>567</v>
      </c>
    </row>
    <row r="483" spans="1:13" s="5" customFormat="1" x14ac:dyDescent="0.25">
      <c r="A483" s="39">
        <f t="shared" si="8"/>
        <v>482</v>
      </c>
      <c r="B483" s="45" t="s">
        <v>765</v>
      </c>
      <c r="C483" s="87" t="s">
        <v>12</v>
      </c>
      <c r="D483" s="5" t="s">
        <v>13</v>
      </c>
      <c r="E483" s="5" t="s">
        <v>14</v>
      </c>
      <c r="F483" s="5" t="s">
        <v>556</v>
      </c>
      <c r="G483" s="41" t="s">
        <v>15</v>
      </c>
      <c r="H483" s="41" t="s">
        <v>16</v>
      </c>
      <c r="I483" s="87"/>
      <c r="J483" s="42" t="s">
        <v>568</v>
      </c>
      <c r="K483" s="44" t="s">
        <v>569</v>
      </c>
      <c r="M483" s="172" t="s">
        <v>570</v>
      </c>
    </row>
    <row r="484" spans="1:13" s="5" customFormat="1" x14ac:dyDescent="0.25">
      <c r="A484" s="39">
        <f t="shared" si="8"/>
        <v>483</v>
      </c>
      <c r="B484" s="45" t="s">
        <v>765</v>
      </c>
      <c r="C484" s="87" t="s">
        <v>12</v>
      </c>
      <c r="D484" s="5" t="s">
        <v>13</v>
      </c>
      <c r="E484" s="5" t="s">
        <v>14</v>
      </c>
      <c r="F484" s="5" t="s">
        <v>556</v>
      </c>
      <c r="G484" s="41" t="s">
        <v>15</v>
      </c>
      <c r="H484" s="41" t="s">
        <v>16</v>
      </c>
      <c r="I484" s="87"/>
      <c r="J484" s="42" t="s">
        <v>17</v>
      </c>
      <c r="K484" s="44" t="s">
        <v>571</v>
      </c>
      <c r="M484" s="172" t="s">
        <v>567</v>
      </c>
    </row>
    <row r="485" spans="1:13" s="5" customFormat="1" x14ac:dyDescent="0.25">
      <c r="A485" s="39">
        <f t="shared" si="8"/>
        <v>484</v>
      </c>
      <c r="B485" s="45" t="s">
        <v>765</v>
      </c>
      <c r="C485" s="87" t="s">
        <v>12</v>
      </c>
      <c r="D485" s="5" t="s">
        <v>13</v>
      </c>
      <c r="E485" s="5" t="s">
        <v>14</v>
      </c>
      <c r="F485" s="5" t="s">
        <v>556</v>
      </c>
      <c r="G485" s="41" t="s">
        <v>15</v>
      </c>
      <c r="H485" s="41" t="s">
        <v>16</v>
      </c>
      <c r="I485" s="87"/>
      <c r="J485" s="42" t="s">
        <v>17</v>
      </c>
      <c r="K485" s="172" t="s">
        <v>572</v>
      </c>
      <c r="L485" s="42"/>
      <c r="M485" s="172" t="s">
        <v>205</v>
      </c>
    </row>
    <row r="486" spans="1:13" s="5" customFormat="1" ht="30" x14ac:dyDescent="0.25">
      <c r="A486" s="39">
        <f t="shared" si="8"/>
        <v>485</v>
      </c>
      <c r="B486" s="45" t="s">
        <v>765</v>
      </c>
      <c r="C486" s="87" t="s">
        <v>12</v>
      </c>
      <c r="D486" s="5" t="s">
        <v>13</v>
      </c>
      <c r="E486" s="5" t="s">
        <v>14</v>
      </c>
      <c r="F486" s="5" t="s">
        <v>556</v>
      </c>
      <c r="G486" s="41" t="s">
        <v>15</v>
      </c>
      <c r="H486" s="41" t="s">
        <v>16</v>
      </c>
      <c r="I486" s="87"/>
      <c r="J486" s="42" t="s">
        <v>17</v>
      </c>
      <c r="K486" s="172" t="s">
        <v>573</v>
      </c>
      <c r="L486" s="42"/>
      <c r="M486" s="172" t="s">
        <v>574</v>
      </c>
    </row>
    <row r="487" spans="1:13" s="5" customFormat="1" x14ac:dyDescent="0.25">
      <c r="A487" s="39">
        <f t="shared" si="8"/>
        <v>486</v>
      </c>
      <c r="B487" s="45" t="s">
        <v>765</v>
      </c>
      <c r="C487" s="87" t="s">
        <v>12</v>
      </c>
      <c r="D487" s="5" t="s">
        <v>13</v>
      </c>
      <c r="E487" s="5" t="s">
        <v>14</v>
      </c>
      <c r="F487" s="5" t="s">
        <v>556</v>
      </c>
      <c r="G487" s="41" t="s">
        <v>15</v>
      </c>
      <c r="H487" s="41" t="s">
        <v>16</v>
      </c>
      <c r="I487" s="87"/>
      <c r="K487" s="44"/>
      <c r="M487" s="44"/>
    </row>
    <row r="488" spans="1:13" s="5" customFormat="1" x14ac:dyDescent="0.25">
      <c r="A488" s="39">
        <f t="shared" si="8"/>
        <v>487</v>
      </c>
      <c r="B488" s="45" t="s">
        <v>765</v>
      </c>
      <c r="C488" s="87" t="s">
        <v>12</v>
      </c>
      <c r="D488" s="5" t="s">
        <v>13</v>
      </c>
      <c r="E488" s="5" t="s">
        <v>14</v>
      </c>
      <c r="F488" s="5" t="s">
        <v>757</v>
      </c>
      <c r="G488" s="41" t="s">
        <v>98</v>
      </c>
      <c r="H488" s="41" t="s">
        <v>16</v>
      </c>
      <c r="I488" s="87"/>
      <c r="J488" s="42" t="s">
        <v>17</v>
      </c>
      <c r="K488" s="172" t="s">
        <v>855</v>
      </c>
      <c r="L488" s="42"/>
      <c r="M488" s="44"/>
    </row>
    <row r="489" spans="1:13" s="5" customFormat="1" x14ac:dyDescent="0.25">
      <c r="A489" s="39">
        <f t="shared" si="8"/>
        <v>488</v>
      </c>
      <c r="B489" s="45" t="s">
        <v>765</v>
      </c>
      <c r="C489" s="87" t="s">
        <v>12</v>
      </c>
      <c r="D489" s="5" t="s">
        <v>13</v>
      </c>
      <c r="E489" s="5" t="s">
        <v>14</v>
      </c>
      <c r="F489" s="5" t="s">
        <v>757</v>
      </c>
      <c r="G489" s="41" t="s">
        <v>98</v>
      </c>
      <c r="H489" s="41" t="s">
        <v>16</v>
      </c>
      <c r="I489" s="87"/>
      <c r="J489" s="42" t="s">
        <v>17</v>
      </c>
      <c r="K489" s="172" t="s">
        <v>576</v>
      </c>
      <c r="L489" s="42"/>
      <c r="M489" s="172" t="s">
        <v>577</v>
      </c>
    </row>
    <row r="490" spans="1:13" s="5" customFormat="1" x14ac:dyDescent="0.25">
      <c r="A490" s="39">
        <f t="shared" si="8"/>
        <v>489</v>
      </c>
      <c r="B490" s="45" t="s">
        <v>765</v>
      </c>
      <c r="C490" s="87" t="s">
        <v>12</v>
      </c>
      <c r="D490" s="5" t="s">
        <v>13</v>
      </c>
      <c r="E490" s="5" t="s">
        <v>14</v>
      </c>
      <c r="F490" s="5" t="s">
        <v>757</v>
      </c>
      <c r="G490" s="41" t="s">
        <v>15</v>
      </c>
      <c r="H490" s="41" t="s">
        <v>16</v>
      </c>
      <c r="I490" s="87"/>
      <c r="J490" s="5" t="s">
        <v>434</v>
      </c>
      <c r="K490" s="172" t="s">
        <v>578</v>
      </c>
      <c r="L490" s="42" t="s">
        <v>579</v>
      </c>
      <c r="M490" s="172" t="s">
        <v>580</v>
      </c>
    </row>
    <row r="491" spans="1:13" s="5" customFormat="1" ht="30" x14ac:dyDescent="0.25">
      <c r="A491" s="39">
        <f t="shared" si="8"/>
        <v>490</v>
      </c>
      <c r="B491" s="45" t="s">
        <v>765</v>
      </c>
      <c r="C491" s="87" t="s">
        <v>12</v>
      </c>
      <c r="D491" s="39" t="s">
        <v>13</v>
      </c>
      <c r="E491" s="5" t="s">
        <v>14</v>
      </c>
      <c r="F491" s="5" t="s">
        <v>757</v>
      </c>
      <c r="G491" s="41" t="s">
        <v>15</v>
      </c>
      <c r="H491" s="46" t="s">
        <v>30</v>
      </c>
      <c r="I491" s="42" t="s">
        <v>581</v>
      </c>
      <c r="J491" s="5" t="s">
        <v>434</v>
      </c>
      <c r="K491" s="172" t="s">
        <v>578</v>
      </c>
      <c r="L491" s="42" t="s">
        <v>579</v>
      </c>
      <c r="M491" s="172" t="s">
        <v>582</v>
      </c>
    </row>
    <row r="492" spans="1:13" s="5" customFormat="1" x14ac:dyDescent="0.25">
      <c r="A492" s="39">
        <f t="shared" si="8"/>
        <v>491</v>
      </c>
      <c r="B492" s="45" t="s">
        <v>765</v>
      </c>
      <c r="C492" s="87" t="s">
        <v>12</v>
      </c>
      <c r="D492" s="5" t="s">
        <v>13</v>
      </c>
      <c r="E492" s="5" t="s">
        <v>14</v>
      </c>
      <c r="F492" s="5" t="s">
        <v>757</v>
      </c>
      <c r="G492" s="41" t="s">
        <v>15</v>
      </c>
      <c r="H492" s="41" t="s">
        <v>16</v>
      </c>
      <c r="I492" s="42"/>
      <c r="J492" s="5" t="s">
        <v>31</v>
      </c>
      <c r="K492" s="172" t="s">
        <v>583</v>
      </c>
      <c r="L492" s="42" t="s">
        <v>579</v>
      </c>
      <c r="M492" s="172" t="s">
        <v>584</v>
      </c>
    </row>
    <row r="493" spans="1:13" s="5" customFormat="1" x14ac:dyDescent="0.25">
      <c r="A493" s="39">
        <f t="shared" si="8"/>
        <v>492</v>
      </c>
      <c r="B493" s="45" t="s">
        <v>765</v>
      </c>
      <c r="C493" s="87" t="s">
        <v>12</v>
      </c>
      <c r="D493" s="5" t="s">
        <v>13</v>
      </c>
      <c r="E493" s="5" t="s">
        <v>14</v>
      </c>
      <c r="F493" s="5" t="s">
        <v>757</v>
      </c>
      <c r="G493" s="41" t="s">
        <v>15</v>
      </c>
      <c r="H493" s="46" t="s">
        <v>30</v>
      </c>
      <c r="I493" s="87" t="s">
        <v>585</v>
      </c>
      <c r="J493" s="5" t="s">
        <v>434</v>
      </c>
      <c r="K493" s="172" t="s">
        <v>578</v>
      </c>
      <c r="L493" s="42" t="s">
        <v>579</v>
      </c>
      <c r="M493" s="172" t="s">
        <v>586</v>
      </c>
    </row>
    <row r="494" spans="1:13" s="5" customFormat="1" x14ac:dyDescent="0.25">
      <c r="A494" s="39">
        <f t="shared" si="8"/>
        <v>493</v>
      </c>
      <c r="B494" s="45" t="s">
        <v>765</v>
      </c>
      <c r="C494" s="87" t="s">
        <v>12</v>
      </c>
      <c r="D494" s="5" t="s">
        <v>13</v>
      </c>
      <c r="E494" s="5" t="s">
        <v>14</v>
      </c>
      <c r="F494" s="5" t="s">
        <v>757</v>
      </c>
      <c r="G494" s="41" t="s">
        <v>98</v>
      </c>
      <c r="H494" s="46" t="s">
        <v>26</v>
      </c>
      <c r="I494" s="87" t="s">
        <v>22</v>
      </c>
      <c r="K494" s="44"/>
      <c r="M494" s="44"/>
    </row>
    <row r="495" spans="1:13" s="5" customFormat="1" x14ac:dyDescent="0.25">
      <c r="A495" s="39">
        <f t="shared" si="8"/>
        <v>494</v>
      </c>
      <c r="B495" s="45" t="s">
        <v>765</v>
      </c>
      <c r="C495" s="87" t="s">
        <v>12</v>
      </c>
      <c r="D495" s="5" t="s">
        <v>13</v>
      </c>
      <c r="E495" s="5" t="s">
        <v>14</v>
      </c>
      <c r="F495" s="5" t="s">
        <v>757</v>
      </c>
      <c r="G495" s="41" t="s">
        <v>98</v>
      </c>
      <c r="H495" s="46" t="s">
        <v>26</v>
      </c>
      <c r="I495" s="87" t="s">
        <v>22</v>
      </c>
      <c r="K495" s="44"/>
      <c r="M495" s="44"/>
    </row>
    <row r="496" spans="1:13" s="5" customFormat="1" x14ac:dyDescent="0.25">
      <c r="A496" s="39">
        <f t="shared" si="8"/>
        <v>495</v>
      </c>
      <c r="B496" s="45" t="s">
        <v>765</v>
      </c>
      <c r="C496" s="87" t="s">
        <v>12</v>
      </c>
      <c r="D496" s="5" t="s">
        <v>13</v>
      </c>
      <c r="E496" s="5" t="s">
        <v>14</v>
      </c>
      <c r="F496" s="5" t="s">
        <v>757</v>
      </c>
      <c r="G496" s="41" t="s">
        <v>15</v>
      </c>
      <c r="H496" s="41" t="s">
        <v>16</v>
      </c>
      <c r="I496" s="87"/>
      <c r="J496" s="5" t="s">
        <v>587</v>
      </c>
      <c r="K496" s="172" t="s">
        <v>588</v>
      </c>
      <c r="L496" s="42" t="s">
        <v>589</v>
      </c>
      <c r="M496" s="44" t="s">
        <v>590</v>
      </c>
    </row>
    <row r="497" spans="1:13" s="5" customFormat="1" x14ac:dyDescent="0.25">
      <c r="A497" s="39">
        <f t="shared" si="8"/>
        <v>496</v>
      </c>
      <c r="B497" s="45" t="s">
        <v>765</v>
      </c>
      <c r="C497" s="87" t="s">
        <v>12</v>
      </c>
      <c r="D497" s="5" t="s">
        <v>13</v>
      </c>
      <c r="E497" s="5" t="s">
        <v>14</v>
      </c>
      <c r="F497" s="5" t="s">
        <v>757</v>
      </c>
      <c r="G497" s="41" t="s">
        <v>98</v>
      </c>
      <c r="H497" s="41" t="s">
        <v>16</v>
      </c>
      <c r="I497" s="87"/>
      <c r="J497" s="42" t="s">
        <v>17</v>
      </c>
      <c r="K497" s="172" t="s">
        <v>591</v>
      </c>
      <c r="L497" s="42" t="s">
        <v>592</v>
      </c>
      <c r="M497" s="172" t="s">
        <v>593</v>
      </c>
    </row>
    <row r="498" spans="1:13" s="5" customFormat="1" x14ac:dyDescent="0.25">
      <c r="A498" s="39">
        <f t="shared" si="8"/>
        <v>497</v>
      </c>
      <c r="B498" s="45" t="s">
        <v>765</v>
      </c>
      <c r="C498" s="87" t="s">
        <v>12</v>
      </c>
      <c r="D498" s="5" t="s">
        <v>13</v>
      </c>
      <c r="E498" s="5" t="s">
        <v>14</v>
      </c>
      <c r="F498" s="5" t="s">
        <v>757</v>
      </c>
      <c r="G498" s="41" t="s">
        <v>15</v>
      </c>
      <c r="H498" s="46" t="s">
        <v>30</v>
      </c>
      <c r="I498" s="87" t="s">
        <v>104</v>
      </c>
      <c r="J498" s="42" t="s">
        <v>17</v>
      </c>
      <c r="K498" s="172" t="s">
        <v>578</v>
      </c>
      <c r="L498" s="42" t="s">
        <v>579</v>
      </c>
      <c r="M498" s="172" t="s">
        <v>584</v>
      </c>
    </row>
    <row r="499" spans="1:13" s="5" customFormat="1" x14ac:dyDescent="0.25">
      <c r="A499" s="39">
        <f t="shared" si="8"/>
        <v>498</v>
      </c>
      <c r="B499" s="45" t="s">
        <v>765</v>
      </c>
      <c r="C499" s="87" t="s">
        <v>12</v>
      </c>
      <c r="D499" s="5" t="s">
        <v>13</v>
      </c>
      <c r="E499" s="5" t="s">
        <v>14</v>
      </c>
      <c r="F499" s="5" t="s">
        <v>757</v>
      </c>
      <c r="G499" s="41" t="s">
        <v>15</v>
      </c>
      <c r="H499" s="46" t="s">
        <v>26</v>
      </c>
      <c r="I499" s="87" t="s">
        <v>22</v>
      </c>
      <c r="K499" s="44"/>
      <c r="L499" s="42"/>
      <c r="M499" s="44"/>
    </row>
    <row r="500" spans="1:13" s="5" customFormat="1" x14ac:dyDescent="0.25">
      <c r="A500" s="39">
        <f t="shared" si="8"/>
        <v>499</v>
      </c>
      <c r="B500" s="45" t="s">
        <v>765</v>
      </c>
      <c r="C500" s="87" t="s">
        <v>12</v>
      </c>
      <c r="D500" s="5" t="s">
        <v>13</v>
      </c>
      <c r="E500" s="5" t="s">
        <v>14</v>
      </c>
      <c r="F500" s="5" t="s">
        <v>757</v>
      </c>
      <c r="G500" s="41" t="s">
        <v>98</v>
      </c>
      <c r="H500" s="46" t="s">
        <v>26</v>
      </c>
      <c r="I500" s="87" t="s">
        <v>22</v>
      </c>
      <c r="K500" s="44"/>
      <c r="M500" s="44"/>
    </row>
    <row r="501" spans="1:13" s="5" customFormat="1" x14ac:dyDescent="0.25">
      <c r="A501" s="39">
        <f t="shared" si="8"/>
        <v>500</v>
      </c>
      <c r="B501" s="45" t="s">
        <v>765</v>
      </c>
      <c r="C501" s="87" t="s">
        <v>12</v>
      </c>
      <c r="D501" s="5" t="s">
        <v>13</v>
      </c>
      <c r="E501" s="5" t="s">
        <v>14</v>
      </c>
      <c r="F501" s="5" t="s">
        <v>758</v>
      </c>
      <c r="G501" s="41" t="s">
        <v>98</v>
      </c>
      <c r="H501" s="46" t="s">
        <v>26</v>
      </c>
      <c r="I501" s="87" t="s">
        <v>22</v>
      </c>
      <c r="K501" s="44"/>
      <c r="M501" s="44"/>
    </row>
    <row r="502" spans="1:13" s="5" customFormat="1" x14ac:dyDescent="0.25">
      <c r="A502" s="39">
        <f t="shared" si="8"/>
        <v>501</v>
      </c>
      <c r="B502" s="45" t="s">
        <v>765</v>
      </c>
      <c r="C502" s="87" t="s">
        <v>12</v>
      </c>
      <c r="D502" s="5" t="s">
        <v>13</v>
      </c>
      <c r="E502" s="5" t="s">
        <v>14</v>
      </c>
      <c r="F502" s="5" t="s">
        <v>758</v>
      </c>
      <c r="G502" s="46" t="s">
        <v>15</v>
      </c>
      <c r="H502" s="46" t="s">
        <v>30</v>
      </c>
      <c r="I502" s="87" t="s">
        <v>22</v>
      </c>
      <c r="J502" s="42" t="s">
        <v>17</v>
      </c>
      <c r="K502" s="172" t="s">
        <v>655</v>
      </c>
      <c r="L502" s="42" t="s">
        <v>780</v>
      </c>
      <c r="M502" s="172" t="s">
        <v>21</v>
      </c>
    </row>
    <row r="503" spans="1:13" s="5" customFormat="1" x14ac:dyDescent="0.25">
      <c r="A503" s="39">
        <f t="shared" si="8"/>
        <v>502</v>
      </c>
      <c r="B503" s="45" t="s">
        <v>765</v>
      </c>
      <c r="C503" s="87" t="s">
        <v>12</v>
      </c>
      <c r="D503" s="5" t="s">
        <v>13</v>
      </c>
      <c r="E503" s="5" t="s">
        <v>14</v>
      </c>
      <c r="F503" s="5" t="s">
        <v>758</v>
      </c>
      <c r="G503" s="41" t="s">
        <v>98</v>
      </c>
      <c r="H503" s="46" t="s">
        <v>30</v>
      </c>
      <c r="I503" s="87" t="s">
        <v>85</v>
      </c>
      <c r="J503" s="42" t="s">
        <v>17</v>
      </c>
      <c r="K503" s="172" t="s">
        <v>596</v>
      </c>
      <c r="L503" s="42"/>
      <c r="M503" s="172" t="s">
        <v>597</v>
      </c>
    </row>
    <row r="504" spans="1:13" s="5" customFormat="1" x14ac:dyDescent="0.25">
      <c r="A504" s="39">
        <f t="shared" si="8"/>
        <v>503</v>
      </c>
      <c r="B504" s="45" t="s">
        <v>765</v>
      </c>
      <c r="C504" s="87" t="s">
        <v>12</v>
      </c>
      <c r="D504" s="5" t="s">
        <v>13</v>
      </c>
      <c r="E504" s="5" t="s">
        <v>14</v>
      </c>
      <c r="F504" s="5" t="s">
        <v>758</v>
      </c>
      <c r="G504" s="41" t="s">
        <v>15</v>
      </c>
      <c r="H504" s="41" t="s">
        <v>16</v>
      </c>
      <c r="I504" s="87"/>
      <c r="J504" s="5" t="s">
        <v>17</v>
      </c>
      <c r="K504" s="172" t="s">
        <v>655</v>
      </c>
      <c r="L504" s="42" t="s">
        <v>780</v>
      </c>
      <c r="M504" s="172" t="s">
        <v>856</v>
      </c>
    </row>
    <row r="505" spans="1:13" s="5" customFormat="1" x14ac:dyDescent="0.25">
      <c r="A505" s="14">
        <f t="shared" si="8"/>
        <v>504</v>
      </c>
      <c r="B505" s="33" t="s">
        <v>765</v>
      </c>
      <c r="C505" s="86" t="s">
        <v>12</v>
      </c>
      <c r="D505" s="15" t="s">
        <v>13</v>
      </c>
      <c r="E505" s="15" t="s">
        <v>14</v>
      </c>
      <c r="F505" s="15" t="s">
        <v>758</v>
      </c>
      <c r="G505" s="18" t="s">
        <v>98</v>
      </c>
      <c r="H505" s="19" t="s">
        <v>122</v>
      </c>
      <c r="I505" s="86"/>
      <c r="J505" s="15"/>
      <c r="K505" s="16"/>
      <c r="L505" s="15"/>
      <c r="M505" s="16"/>
    </row>
    <row r="506" spans="1:13" s="5" customFormat="1" x14ac:dyDescent="0.25">
      <c r="A506" s="39">
        <f t="shared" si="8"/>
        <v>505</v>
      </c>
      <c r="B506" s="45" t="s">
        <v>765</v>
      </c>
      <c r="C506" s="87" t="s">
        <v>12</v>
      </c>
      <c r="D506" s="5" t="s">
        <v>13</v>
      </c>
      <c r="E506" s="5" t="s">
        <v>14</v>
      </c>
      <c r="F506" s="5" t="s">
        <v>758</v>
      </c>
      <c r="G506" s="41" t="s">
        <v>98</v>
      </c>
      <c r="H506" s="46" t="s">
        <v>30</v>
      </c>
      <c r="I506" s="87" t="s">
        <v>598</v>
      </c>
      <c r="J506" s="5" t="s">
        <v>431</v>
      </c>
      <c r="K506" s="172" t="s">
        <v>578</v>
      </c>
      <c r="L506" s="42" t="s">
        <v>579</v>
      </c>
      <c r="M506" s="172" t="s">
        <v>599</v>
      </c>
    </row>
    <row r="507" spans="1:13" s="5" customFormat="1" x14ac:dyDescent="0.25">
      <c r="A507" s="39">
        <f t="shared" si="8"/>
        <v>506</v>
      </c>
      <c r="B507" s="45" t="s">
        <v>765</v>
      </c>
      <c r="C507" s="87" t="s">
        <v>12</v>
      </c>
      <c r="D507" s="5" t="s">
        <v>13</v>
      </c>
      <c r="E507" s="5" t="s">
        <v>14</v>
      </c>
      <c r="F507" s="5" t="s">
        <v>758</v>
      </c>
      <c r="G507" s="41" t="s">
        <v>98</v>
      </c>
      <c r="H507" s="46" t="s">
        <v>30</v>
      </c>
      <c r="I507" s="87" t="s">
        <v>22</v>
      </c>
      <c r="J507" s="5" t="s">
        <v>71</v>
      </c>
      <c r="K507" s="172" t="s">
        <v>578</v>
      </c>
      <c r="L507" s="42" t="s">
        <v>579</v>
      </c>
      <c r="M507" s="172" t="s">
        <v>600</v>
      </c>
    </row>
    <row r="508" spans="1:13" s="5" customFormat="1" x14ac:dyDescent="0.25">
      <c r="A508" s="39">
        <f t="shared" si="8"/>
        <v>507</v>
      </c>
      <c r="B508" s="45" t="s">
        <v>765</v>
      </c>
      <c r="C508" s="87" t="s">
        <v>12</v>
      </c>
      <c r="D508" s="5" t="s">
        <v>13</v>
      </c>
      <c r="E508" s="5" t="s">
        <v>14</v>
      </c>
      <c r="F508" s="5" t="s">
        <v>758</v>
      </c>
      <c r="G508" s="41" t="s">
        <v>15</v>
      </c>
      <c r="H508" s="46" t="s">
        <v>26</v>
      </c>
      <c r="I508" s="87" t="s">
        <v>85</v>
      </c>
      <c r="K508" s="44"/>
      <c r="M508" s="44"/>
    </row>
    <row r="509" spans="1:13" s="5" customFormat="1" x14ac:dyDescent="0.25">
      <c r="A509" s="39">
        <f t="shared" si="8"/>
        <v>508</v>
      </c>
      <c r="B509" s="45" t="s">
        <v>765</v>
      </c>
      <c r="C509" s="87" t="s">
        <v>12</v>
      </c>
      <c r="D509" s="5" t="s">
        <v>13</v>
      </c>
      <c r="E509" s="5" t="s">
        <v>14</v>
      </c>
      <c r="F509" s="5" t="s">
        <v>758</v>
      </c>
      <c r="G509" s="41" t="s">
        <v>98</v>
      </c>
      <c r="H509" s="46" t="s">
        <v>30</v>
      </c>
      <c r="I509" s="87" t="s">
        <v>22</v>
      </c>
      <c r="J509" s="42" t="s">
        <v>17</v>
      </c>
      <c r="K509" s="172" t="s">
        <v>578</v>
      </c>
      <c r="L509" s="42" t="s">
        <v>579</v>
      </c>
      <c r="M509" s="172" t="s">
        <v>580</v>
      </c>
    </row>
    <row r="510" spans="1:13" s="5" customFormat="1" x14ac:dyDescent="0.25">
      <c r="A510" s="39">
        <f t="shared" si="8"/>
        <v>509</v>
      </c>
      <c r="B510" s="45" t="s">
        <v>765</v>
      </c>
      <c r="C510" s="87" t="s">
        <v>12</v>
      </c>
      <c r="D510" s="5" t="s">
        <v>13</v>
      </c>
      <c r="E510" s="5" t="s">
        <v>14</v>
      </c>
      <c r="F510" s="5" t="s">
        <v>759</v>
      </c>
      <c r="G510" s="41" t="s">
        <v>864</v>
      </c>
      <c r="H510" s="41" t="s">
        <v>761</v>
      </c>
      <c r="I510" s="87"/>
      <c r="J510" s="42" t="s">
        <v>17</v>
      </c>
      <c r="K510" s="44"/>
      <c r="M510" s="44" t="s">
        <v>602</v>
      </c>
    </row>
    <row r="511" spans="1:13" s="5" customFormat="1" x14ac:dyDescent="0.25">
      <c r="A511" s="39">
        <f t="shared" si="8"/>
        <v>510</v>
      </c>
      <c r="B511" s="45" t="s">
        <v>765</v>
      </c>
      <c r="C511" s="87" t="s">
        <v>12</v>
      </c>
      <c r="D511" s="5" t="s">
        <v>13</v>
      </c>
      <c r="E511" s="5" t="s">
        <v>14</v>
      </c>
      <c r="F511" s="5" t="s">
        <v>759</v>
      </c>
      <c r="G511" s="41" t="s">
        <v>15</v>
      </c>
      <c r="H511" s="41" t="s">
        <v>16</v>
      </c>
      <c r="I511" s="87"/>
      <c r="J511" s="42" t="s">
        <v>17</v>
      </c>
      <c r="K511" s="44" t="s">
        <v>791</v>
      </c>
      <c r="L511" s="5" t="s">
        <v>80</v>
      </c>
      <c r="M511" s="44" t="s">
        <v>790</v>
      </c>
    </row>
    <row r="512" spans="1:13" s="5" customFormat="1" x14ac:dyDescent="0.25">
      <c r="A512" s="39">
        <f t="shared" si="8"/>
        <v>511</v>
      </c>
      <c r="B512" s="45" t="s">
        <v>765</v>
      </c>
      <c r="C512" s="87" t="s">
        <v>12</v>
      </c>
      <c r="D512" s="5" t="s">
        <v>13</v>
      </c>
      <c r="E512" s="5" t="s">
        <v>14</v>
      </c>
      <c r="F512" s="5" t="s">
        <v>759</v>
      </c>
      <c r="G512" s="41" t="s">
        <v>15</v>
      </c>
      <c r="H512" s="41" t="s">
        <v>16</v>
      </c>
      <c r="I512" s="87"/>
      <c r="J512" s="42" t="s">
        <v>31</v>
      </c>
      <c r="K512" s="172" t="s">
        <v>603</v>
      </c>
      <c r="L512" s="5" t="s">
        <v>799</v>
      </c>
      <c r="M512" s="172" t="s">
        <v>567</v>
      </c>
    </row>
    <row r="513" spans="1:13" s="5" customFormat="1" x14ac:dyDescent="0.25">
      <c r="A513" s="39">
        <f t="shared" si="8"/>
        <v>512</v>
      </c>
      <c r="B513" s="45" t="s">
        <v>765</v>
      </c>
      <c r="C513" s="87" t="s">
        <v>12</v>
      </c>
      <c r="D513" s="5" t="s">
        <v>13</v>
      </c>
      <c r="E513" s="5" t="s">
        <v>14</v>
      </c>
      <c r="F513" s="5" t="s">
        <v>759</v>
      </c>
      <c r="G513" s="41" t="s">
        <v>15</v>
      </c>
      <c r="H513" s="41" t="s">
        <v>16</v>
      </c>
      <c r="I513" s="87"/>
      <c r="J513" s="42" t="s">
        <v>17</v>
      </c>
      <c r="K513" s="44" t="s">
        <v>792</v>
      </c>
      <c r="L513" s="5" t="s">
        <v>80</v>
      </c>
      <c r="M513" s="172" t="s">
        <v>604</v>
      </c>
    </row>
    <row r="514" spans="1:13" s="5" customFormat="1" x14ac:dyDescent="0.25">
      <c r="A514" s="39">
        <f t="shared" si="8"/>
        <v>513</v>
      </c>
      <c r="B514" s="45" t="s">
        <v>765</v>
      </c>
      <c r="C514" s="87" t="s">
        <v>12</v>
      </c>
      <c r="D514" s="5" t="s">
        <v>13</v>
      </c>
      <c r="E514" s="5" t="s">
        <v>14</v>
      </c>
      <c r="F514" s="5" t="s">
        <v>759</v>
      </c>
      <c r="G514" s="41" t="s">
        <v>15</v>
      </c>
      <c r="H514" s="41" t="s">
        <v>16</v>
      </c>
      <c r="I514" s="87"/>
      <c r="J514" s="5" t="s">
        <v>605</v>
      </c>
      <c r="K514" s="172" t="s">
        <v>606</v>
      </c>
      <c r="L514" s="5" t="s">
        <v>799</v>
      </c>
      <c r="M514" s="172" t="s">
        <v>607</v>
      </c>
    </row>
    <row r="515" spans="1:13" s="5" customFormat="1" x14ac:dyDescent="0.25">
      <c r="A515" s="39">
        <f t="shared" si="8"/>
        <v>514</v>
      </c>
      <c r="B515" s="45" t="s">
        <v>765</v>
      </c>
      <c r="C515" s="87" t="s">
        <v>12</v>
      </c>
      <c r="D515" s="5" t="s">
        <v>13</v>
      </c>
      <c r="E515" s="5" t="s">
        <v>14</v>
      </c>
      <c r="F515" s="5" t="s">
        <v>759</v>
      </c>
      <c r="G515" s="41" t="s">
        <v>96</v>
      </c>
      <c r="H515" s="46" t="s">
        <v>30</v>
      </c>
      <c r="I515" s="87" t="s">
        <v>608</v>
      </c>
      <c r="J515" s="42" t="s">
        <v>17</v>
      </c>
      <c r="K515" s="172" t="s">
        <v>609</v>
      </c>
      <c r="L515" s="5" t="s">
        <v>799</v>
      </c>
      <c r="M515" s="172" t="s">
        <v>610</v>
      </c>
    </row>
    <row r="516" spans="1:13" s="5" customFormat="1" x14ac:dyDescent="0.25">
      <c r="A516" s="39">
        <f t="shared" si="8"/>
        <v>515</v>
      </c>
      <c r="B516" s="45" t="s">
        <v>765</v>
      </c>
      <c r="C516" s="87" t="s">
        <v>12</v>
      </c>
      <c r="D516" s="5" t="s">
        <v>13</v>
      </c>
      <c r="E516" s="5" t="s">
        <v>14</v>
      </c>
      <c r="F516" s="5" t="s">
        <v>760</v>
      </c>
      <c r="G516" s="41" t="s">
        <v>15</v>
      </c>
      <c r="H516" s="41" t="s">
        <v>16</v>
      </c>
      <c r="I516" s="87"/>
      <c r="J516" s="42" t="s">
        <v>17</v>
      </c>
      <c r="K516" s="172" t="s">
        <v>611</v>
      </c>
      <c r="L516" s="5" t="s">
        <v>799</v>
      </c>
      <c r="M516" s="44"/>
    </row>
    <row r="517" spans="1:13" s="5" customFormat="1" x14ac:dyDescent="0.25">
      <c r="A517" s="39">
        <f t="shared" si="8"/>
        <v>516</v>
      </c>
      <c r="B517" s="45" t="s">
        <v>765</v>
      </c>
      <c r="C517" s="87" t="s">
        <v>12</v>
      </c>
      <c r="D517" s="5" t="s">
        <v>13</v>
      </c>
      <c r="E517" s="5" t="s">
        <v>14</v>
      </c>
      <c r="F517" s="5" t="s">
        <v>760</v>
      </c>
      <c r="G517" s="41" t="s">
        <v>98</v>
      </c>
      <c r="H517" s="41" t="s">
        <v>16</v>
      </c>
      <c r="I517" s="87"/>
      <c r="J517" s="42" t="s">
        <v>17</v>
      </c>
      <c r="K517" s="172" t="s">
        <v>611</v>
      </c>
      <c r="L517" s="5" t="s">
        <v>799</v>
      </c>
      <c r="M517" s="172" t="s">
        <v>612</v>
      </c>
    </row>
    <row r="518" spans="1:13" s="5" customFormat="1" x14ac:dyDescent="0.25">
      <c r="A518" s="39">
        <f t="shared" si="8"/>
        <v>517</v>
      </c>
      <c r="B518" s="45" t="s">
        <v>765</v>
      </c>
      <c r="C518" s="87" t="s">
        <v>12</v>
      </c>
      <c r="D518" s="5" t="s">
        <v>13</v>
      </c>
      <c r="E518" s="5" t="s">
        <v>14</v>
      </c>
      <c r="F518" s="5" t="s">
        <v>760</v>
      </c>
      <c r="G518" s="41" t="s">
        <v>15</v>
      </c>
      <c r="H518" s="41" t="s">
        <v>16</v>
      </c>
      <c r="I518" s="87"/>
      <c r="J518" s="42" t="s">
        <v>613</v>
      </c>
      <c r="K518" s="172" t="s">
        <v>614</v>
      </c>
      <c r="M518" s="172"/>
    </row>
    <row r="519" spans="1:13" s="5" customFormat="1" x14ac:dyDescent="0.25">
      <c r="A519" s="39">
        <f t="shared" si="8"/>
        <v>518</v>
      </c>
      <c r="B519" s="45" t="s">
        <v>765</v>
      </c>
      <c r="C519" s="87" t="s">
        <v>12</v>
      </c>
      <c r="D519" s="5" t="s">
        <v>13</v>
      </c>
      <c r="E519" s="5" t="s">
        <v>14</v>
      </c>
      <c r="F519" s="5" t="s">
        <v>760</v>
      </c>
      <c r="G519" s="41" t="s">
        <v>15</v>
      </c>
      <c r="H519" s="46" t="s">
        <v>30</v>
      </c>
      <c r="I519" s="87" t="s">
        <v>22</v>
      </c>
      <c r="J519" s="42" t="s">
        <v>615</v>
      </c>
      <c r="K519" s="172" t="s">
        <v>616</v>
      </c>
      <c r="L519" s="5" t="s">
        <v>799</v>
      </c>
      <c r="M519" s="172" t="s">
        <v>617</v>
      </c>
    </row>
    <row r="520" spans="1:13" s="5" customFormat="1" x14ac:dyDescent="0.25">
      <c r="A520" s="39">
        <f t="shared" si="8"/>
        <v>519</v>
      </c>
      <c r="B520" s="45" t="s">
        <v>765</v>
      </c>
      <c r="C520" s="87" t="s">
        <v>12</v>
      </c>
      <c r="D520" s="5" t="s">
        <v>13</v>
      </c>
      <c r="E520" s="5" t="s">
        <v>14</v>
      </c>
      <c r="F520" s="5" t="s">
        <v>760</v>
      </c>
      <c r="G520" s="41" t="s">
        <v>15</v>
      </c>
      <c r="H520" s="46" t="s">
        <v>30</v>
      </c>
      <c r="I520" s="87" t="s">
        <v>22</v>
      </c>
      <c r="J520" s="42" t="s">
        <v>17</v>
      </c>
      <c r="K520" s="172" t="s">
        <v>61</v>
      </c>
      <c r="L520" s="42" t="s">
        <v>779</v>
      </c>
      <c r="M520" s="44" t="s">
        <v>618</v>
      </c>
    </row>
    <row r="521" spans="1:13" s="5" customFormat="1" x14ac:dyDescent="0.25">
      <c r="A521" s="39">
        <f t="shared" si="8"/>
        <v>520</v>
      </c>
      <c r="B521" s="45" t="s">
        <v>765</v>
      </c>
      <c r="C521" s="87" t="s">
        <v>12</v>
      </c>
      <c r="D521" s="5" t="s">
        <v>13</v>
      </c>
      <c r="E521" s="5" t="s">
        <v>14</v>
      </c>
      <c r="F521" s="5" t="s">
        <v>760</v>
      </c>
      <c r="G521" s="41" t="s">
        <v>15</v>
      </c>
      <c r="H521" s="41" t="s">
        <v>16</v>
      </c>
      <c r="I521" s="87"/>
      <c r="J521" s="42" t="s">
        <v>17</v>
      </c>
      <c r="K521" s="44" t="s">
        <v>619</v>
      </c>
      <c r="M521" s="209" t="s">
        <v>618</v>
      </c>
    </row>
    <row r="522" spans="1:13" s="5" customFormat="1" x14ac:dyDescent="0.25">
      <c r="A522" s="8">
        <f t="shared" si="8"/>
        <v>521</v>
      </c>
      <c r="B522" s="32" t="s">
        <v>765</v>
      </c>
      <c r="C522" s="85" t="s">
        <v>12</v>
      </c>
      <c r="D522" s="9" t="s">
        <v>127</v>
      </c>
      <c r="E522" s="9" t="s">
        <v>14</v>
      </c>
      <c r="F522" s="12" t="s">
        <v>629</v>
      </c>
      <c r="G522" s="11" t="s">
        <v>15</v>
      </c>
      <c r="H522" s="9" t="s">
        <v>63</v>
      </c>
      <c r="I522" s="87"/>
      <c r="K522" s="44"/>
      <c r="M522" s="44"/>
    </row>
    <row r="523" spans="1:13" s="5" customFormat="1" x14ac:dyDescent="0.25">
      <c r="A523" s="39">
        <f t="shared" si="8"/>
        <v>522</v>
      </c>
      <c r="B523" s="45" t="s">
        <v>765</v>
      </c>
      <c r="C523" s="87" t="s">
        <v>12</v>
      </c>
      <c r="D523" s="5" t="s">
        <v>13</v>
      </c>
      <c r="E523" s="5" t="s">
        <v>14</v>
      </c>
      <c r="F523" s="5" t="s">
        <v>760</v>
      </c>
      <c r="G523" s="41" t="s">
        <v>98</v>
      </c>
      <c r="H523" s="46" t="s">
        <v>30</v>
      </c>
      <c r="I523" s="87" t="s">
        <v>22</v>
      </c>
      <c r="J523" s="42" t="s">
        <v>17</v>
      </c>
      <c r="K523" s="172" t="s">
        <v>61</v>
      </c>
      <c r="L523" s="42" t="s">
        <v>779</v>
      </c>
      <c r="M523" s="172" t="s">
        <v>620</v>
      </c>
    </row>
    <row r="524" spans="1:13" s="5" customFormat="1" x14ac:dyDescent="0.25">
      <c r="A524" s="39">
        <f t="shared" si="8"/>
        <v>523</v>
      </c>
      <c r="B524" s="45" t="s">
        <v>765</v>
      </c>
      <c r="C524" s="87" t="s">
        <v>12</v>
      </c>
      <c r="D524" s="5" t="s">
        <v>13</v>
      </c>
      <c r="E524" s="5" t="s">
        <v>14</v>
      </c>
      <c r="F524" s="5" t="s">
        <v>760</v>
      </c>
      <c r="G524" s="41" t="s">
        <v>98</v>
      </c>
      <c r="H524" s="46" t="s">
        <v>30</v>
      </c>
      <c r="I524" s="42" t="s">
        <v>621</v>
      </c>
      <c r="J524" s="42" t="s">
        <v>31</v>
      </c>
      <c r="K524" s="44" t="s">
        <v>622</v>
      </c>
      <c r="M524" s="44" t="s">
        <v>618</v>
      </c>
    </row>
    <row r="525" spans="1:13" s="5" customFormat="1" x14ac:dyDescent="0.25">
      <c r="A525" s="39">
        <f t="shared" si="8"/>
        <v>524</v>
      </c>
      <c r="B525" s="45" t="s">
        <v>765</v>
      </c>
      <c r="C525" s="87" t="s">
        <v>12</v>
      </c>
      <c r="D525" s="5" t="s">
        <v>13</v>
      </c>
      <c r="E525" s="5" t="s">
        <v>14</v>
      </c>
      <c r="F525" s="5" t="s">
        <v>760</v>
      </c>
      <c r="G525" s="41" t="s">
        <v>15</v>
      </c>
      <c r="H525" s="41" t="s">
        <v>16</v>
      </c>
      <c r="I525" s="87"/>
      <c r="J525" s="42" t="s">
        <v>31</v>
      </c>
      <c r="K525" s="44" t="s">
        <v>622</v>
      </c>
      <c r="M525" s="44" t="s">
        <v>618</v>
      </c>
    </row>
    <row r="526" spans="1:13" s="5" customFormat="1" x14ac:dyDescent="0.25">
      <c r="A526" s="8">
        <f t="shared" si="8"/>
        <v>525</v>
      </c>
      <c r="B526" s="32" t="s">
        <v>765</v>
      </c>
      <c r="C526" s="85" t="s">
        <v>12</v>
      </c>
      <c r="D526" s="9" t="s">
        <v>13</v>
      </c>
      <c r="E526" s="9" t="s">
        <v>14</v>
      </c>
      <c r="F526" s="9" t="s">
        <v>540</v>
      </c>
      <c r="G526" s="11" t="s">
        <v>98</v>
      </c>
      <c r="H526" s="12" t="s">
        <v>63</v>
      </c>
      <c r="I526" s="42"/>
      <c r="J526" s="42"/>
      <c r="K526" s="172"/>
      <c r="M526" s="44"/>
    </row>
    <row r="527" spans="1:13" s="5" customFormat="1" x14ac:dyDescent="0.25">
      <c r="A527" s="39">
        <f t="shared" si="8"/>
        <v>526</v>
      </c>
      <c r="B527" s="45" t="s">
        <v>765</v>
      </c>
      <c r="C527" s="87" t="s">
        <v>12</v>
      </c>
      <c r="D527" s="5" t="s">
        <v>13</v>
      </c>
      <c r="E527" s="5" t="s">
        <v>14</v>
      </c>
      <c r="F527" s="5" t="s">
        <v>760</v>
      </c>
      <c r="G527" s="41" t="s">
        <v>98</v>
      </c>
      <c r="H527" s="41" t="s">
        <v>26</v>
      </c>
      <c r="I527" s="42" t="s">
        <v>623</v>
      </c>
      <c r="J527" s="5" t="s">
        <v>624</v>
      </c>
      <c r="K527" s="44"/>
      <c r="M527" s="44"/>
    </row>
    <row r="528" spans="1:13" s="5" customFormat="1" ht="30" x14ac:dyDescent="0.25">
      <c r="A528" s="39">
        <f t="shared" si="8"/>
        <v>527</v>
      </c>
      <c r="B528" s="45" t="s">
        <v>765</v>
      </c>
      <c r="C528" s="87" t="s">
        <v>12</v>
      </c>
      <c r="D528" s="5" t="s">
        <v>13</v>
      </c>
      <c r="E528" s="5" t="s">
        <v>14</v>
      </c>
      <c r="F528" s="5" t="s">
        <v>760</v>
      </c>
      <c r="G528" s="41" t="s">
        <v>96</v>
      </c>
      <c r="H528" s="41" t="s">
        <v>16</v>
      </c>
      <c r="I528" s="87"/>
      <c r="J528" s="42" t="s">
        <v>17</v>
      </c>
      <c r="K528" s="172" t="s">
        <v>625</v>
      </c>
      <c r="L528" s="42" t="s">
        <v>799</v>
      </c>
      <c r="M528" s="172" t="s">
        <v>626</v>
      </c>
    </row>
    <row r="529" spans="1:13" s="5" customFormat="1" x14ac:dyDescent="0.25">
      <c r="A529" s="39">
        <f t="shared" si="8"/>
        <v>528</v>
      </c>
      <c r="B529" s="45" t="s">
        <v>765</v>
      </c>
      <c r="C529" s="87" t="s">
        <v>12</v>
      </c>
      <c r="D529" s="5" t="s">
        <v>13</v>
      </c>
      <c r="E529" s="5" t="s">
        <v>14</v>
      </c>
      <c r="F529" s="5" t="s">
        <v>760</v>
      </c>
      <c r="G529" s="41" t="s">
        <v>98</v>
      </c>
      <c r="H529" s="41" t="s">
        <v>16</v>
      </c>
      <c r="I529" s="87"/>
      <c r="J529" s="42" t="s">
        <v>17</v>
      </c>
      <c r="K529" s="44" t="s">
        <v>627</v>
      </c>
      <c r="M529" s="44" t="s">
        <v>628</v>
      </c>
    </row>
    <row r="530" spans="1:13" s="5" customFormat="1" x14ac:dyDescent="0.25">
      <c r="A530" s="39">
        <f t="shared" si="8"/>
        <v>529</v>
      </c>
      <c r="B530" s="45" t="s">
        <v>765</v>
      </c>
      <c r="C530" s="87" t="s">
        <v>12</v>
      </c>
      <c r="D530" s="5" t="s">
        <v>127</v>
      </c>
      <c r="E530" s="5" t="s">
        <v>14</v>
      </c>
      <c r="F530" s="42" t="s">
        <v>629</v>
      </c>
      <c r="G530" s="41" t="s">
        <v>15</v>
      </c>
      <c r="H530" s="41" t="s">
        <v>16</v>
      </c>
      <c r="I530" s="87"/>
      <c r="J530" s="42" t="s">
        <v>17</v>
      </c>
      <c r="K530" s="44" t="s">
        <v>630</v>
      </c>
      <c r="L530" s="5" t="s">
        <v>799</v>
      </c>
      <c r="M530" s="172" t="s">
        <v>631</v>
      </c>
    </row>
    <row r="531" spans="1:13" s="5" customFormat="1" x14ac:dyDescent="0.25">
      <c r="A531" s="39">
        <f t="shared" si="8"/>
        <v>530</v>
      </c>
      <c r="B531" s="45" t="s">
        <v>765</v>
      </c>
      <c r="C531" s="87" t="s">
        <v>12</v>
      </c>
      <c r="D531" s="5" t="s">
        <v>127</v>
      </c>
      <c r="E531" s="5" t="s">
        <v>14</v>
      </c>
      <c r="F531" s="42" t="s">
        <v>629</v>
      </c>
      <c r="G531" s="41" t="s">
        <v>15</v>
      </c>
      <c r="H531" s="41" t="s">
        <v>16</v>
      </c>
      <c r="I531" s="87"/>
      <c r="J531" s="5" t="s">
        <v>31</v>
      </c>
      <c r="K531" s="44" t="s">
        <v>632</v>
      </c>
      <c r="M531" s="44" t="s">
        <v>633</v>
      </c>
    </row>
    <row r="532" spans="1:13" s="5" customFormat="1" x14ac:dyDescent="0.25">
      <c r="A532" s="39">
        <f t="shared" si="8"/>
        <v>531</v>
      </c>
      <c r="B532" s="45" t="s">
        <v>765</v>
      </c>
      <c r="C532" s="87" t="s">
        <v>12</v>
      </c>
      <c r="D532" s="5" t="s">
        <v>127</v>
      </c>
      <c r="E532" s="5" t="s">
        <v>14</v>
      </c>
      <c r="F532" s="42" t="s">
        <v>629</v>
      </c>
      <c r="G532" s="41" t="s">
        <v>15</v>
      </c>
      <c r="H532" s="41" t="s">
        <v>16</v>
      </c>
      <c r="I532" s="87"/>
      <c r="J532" s="5" t="s">
        <v>634</v>
      </c>
      <c r="K532" s="44" t="s">
        <v>635</v>
      </c>
      <c r="L532" s="5" t="s">
        <v>799</v>
      </c>
      <c r="M532" s="44" t="s">
        <v>636</v>
      </c>
    </row>
    <row r="533" spans="1:13" s="5" customFormat="1" x14ac:dyDescent="0.25">
      <c r="A533" s="39">
        <f t="shared" si="8"/>
        <v>532</v>
      </c>
      <c r="B533" s="45" t="s">
        <v>765</v>
      </c>
      <c r="C533" s="87" t="s">
        <v>12</v>
      </c>
      <c r="D533" s="5" t="s">
        <v>127</v>
      </c>
      <c r="E533" s="5" t="s">
        <v>14</v>
      </c>
      <c r="F533" s="42" t="s">
        <v>629</v>
      </c>
      <c r="G533" s="41" t="s">
        <v>15</v>
      </c>
      <c r="H533" s="41" t="s">
        <v>16</v>
      </c>
      <c r="I533" s="87"/>
      <c r="J533" s="5" t="s">
        <v>31</v>
      </c>
      <c r="K533" s="44" t="s">
        <v>637</v>
      </c>
      <c r="M533" s="44" t="s">
        <v>638</v>
      </c>
    </row>
    <row r="534" spans="1:13" s="5" customFormat="1" ht="30" x14ac:dyDescent="0.25">
      <c r="A534" s="39">
        <f t="shared" si="8"/>
        <v>533</v>
      </c>
      <c r="B534" s="45" t="s">
        <v>765</v>
      </c>
      <c r="C534" s="87" t="s">
        <v>12</v>
      </c>
      <c r="D534" s="5" t="s">
        <v>127</v>
      </c>
      <c r="E534" s="5" t="s">
        <v>14</v>
      </c>
      <c r="F534" s="42" t="s">
        <v>629</v>
      </c>
      <c r="G534" s="41" t="s">
        <v>15</v>
      </c>
      <c r="H534" s="41" t="s">
        <v>16</v>
      </c>
      <c r="I534" s="87"/>
      <c r="J534" s="42" t="s">
        <v>639</v>
      </c>
      <c r="K534" s="172" t="s">
        <v>640</v>
      </c>
      <c r="L534" s="5" t="s">
        <v>799</v>
      </c>
      <c r="M534" s="172" t="s">
        <v>631</v>
      </c>
    </row>
    <row r="535" spans="1:13" s="5" customFormat="1" ht="30" x14ac:dyDescent="0.25">
      <c r="A535" s="39">
        <f t="shared" si="8"/>
        <v>534</v>
      </c>
      <c r="B535" s="45" t="s">
        <v>765</v>
      </c>
      <c r="C535" s="87" t="s">
        <v>12</v>
      </c>
      <c r="D535" s="5" t="s">
        <v>127</v>
      </c>
      <c r="E535" s="5" t="s">
        <v>14</v>
      </c>
      <c r="F535" s="42" t="s">
        <v>629</v>
      </c>
      <c r="G535" s="41" t="s">
        <v>15</v>
      </c>
      <c r="H535" s="41" t="s">
        <v>16</v>
      </c>
      <c r="I535" s="87"/>
      <c r="J535" s="5" t="s">
        <v>31</v>
      </c>
      <c r="K535" s="44" t="s">
        <v>641</v>
      </c>
      <c r="M535" s="172" t="s">
        <v>642</v>
      </c>
    </row>
    <row r="536" spans="1:13" s="5" customFormat="1" x14ac:dyDescent="0.25">
      <c r="A536" s="39">
        <f t="shared" si="8"/>
        <v>535</v>
      </c>
      <c r="B536" s="45" t="s">
        <v>765</v>
      </c>
      <c r="C536" s="87" t="s">
        <v>12</v>
      </c>
      <c r="D536" s="5" t="s">
        <v>127</v>
      </c>
      <c r="E536" s="5" t="s">
        <v>14</v>
      </c>
      <c r="F536" s="42" t="s">
        <v>629</v>
      </c>
      <c r="G536" s="41" t="s">
        <v>15</v>
      </c>
      <c r="H536" s="41" t="s">
        <v>16</v>
      </c>
      <c r="I536" s="87"/>
      <c r="J536" s="42" t="s">
        <v>17</v>
      </c>
      <c r="K536" s="172" t="s">
        <v>643</v>
      </c>
      <c r="M536" s="172" t="s">
        <v>644</v>
      </c>
    </row>
    <row r="537" spans="1:13" s="5" customFormat="1" x14ac:dyDescent="0.25">
      <c r="A537" s="39">
        <f t="shared" si="8"/>
        <v>536</v>
      </c>
      <c r="B537" s="45" t="s">
        <v>765</v>
      </c>
      <c r="C537" s="87" t="s">
        <v>12</v>
      </c>
      <c r="D537" s="5" t="s">
        <v>127</v>
      </c>
      <c r="E537" s="5" t="s">
        <v>14</v>
      </c>
      <c r="F537" s="42" t="s">
        <v>629</v>
      </c>
      <c r="G537" s="41" t="s">
        <v>15</v>
      </c>
      <c r="H537" s="41" t="s">
        <v>16</v>
      </c>
      <c r="I537" s="87"/>
      <c r="J537" s="42" t="s">
        <v>17</v>
      </c>
      <c r="K537" s="172" t="s">
        <v>857</v>
      </c>
      <c r="M537" s="172" t="s">
        <v>645</v>
      </c>
    </row>
    <row r="538" spans="1:13" s="5" customFormat="1" x14ac:dyDescent="0.25">
      <c r="A538" s="8">
        <f t="shared" si="8"/>
        <v>537</v>
      </c>
      <c r="B538" s="32" t="s">
        <v>765</v>
      </c>
      <c r="C538" s="85" t="s">
        <v>12</v>
      </c>
      <c r="D538" s="9" t="s">
        <v>13</v>
      </c>
      <c r="E538" s="9" t="s">
        <v>14</v>
      </c>
      <c r="F538" s="9" t="s">
        <v>760</v>
      </c>
      <c r="G538" s="11" t="s">
        <v>98</v>
      </c>
      <c r="H538" s="11" t="s">
        <v>63</v>
      </c>
      <c r="I538" s="87"/>
      <c r="K538" s="44"/>
      <c r="M538" s="44"/>
    </row>
    <row r="539" spans="1:13" s="5" customFormat="1" x14ac:dyDescent="0.25">
      <c r="A539" s="26">
        <f t="shared" si="8"/>
        <v>538</v>
      </c>
      <c r="B539" s="26" t="s">
        <v>765</v>
      </c>
      <c r="C539" s="88" t="s">
        <v>12</v>
      </c>
      <c r="D539" s="27" t="s">
        <v>127</v>
      </c>
      <c r="E539" s="27" t="s">
        <v>14</v>
      </c>
      <c r="F539" s="28" t="s">
        <v>629</v>
      </c>
      <c r="G539" s="29" t="s">
        <v>15</v>
      </c>
      <c r="H539" s="29" t="s">
        <v>412</v>
      </c>
      <c r="I539" s="88"/>
      <c r="J539" s="27"/>
      <c r="K539" s="30"/>
      <c r="L539" s="27"/>
      <c r="M539" s="30"/>
    </row>
    <row r="540" spans="1:13" s="5" customFormat="1" ht="30" x14ac:dyDescent="0.25">
      <c r="A540" s="39">
        <f t="shared" si="8"/>
        <v>539</v>
      </c>
      <c r="B540" s="176" t="s">
        <v>765</v>
      </c>
      <c r="C540" s="87" t="s">
        <v>12</v>
      </c>
      <c r="D540" s="5" t="s">
        <v>127</v>
      </c>
      <c r="E540" s="5" t="s">
        <v>14</v>
      </c>
      <c r="F540" s="42" t="s">
        <v>629</v>
      </c>
      <c r="G540" s="41" t="s">
        <v>15</v>
      </c>
      <c r="H540" s="41" t="s">
        <v>16</v>
      </c>
      <c r="I540" s="87"/>
      <c r="J540" s="42" t="s">
        <v>647</v>
      </c>
      <c r="K540" s="172" t="s">
        <v>648</v>
      </c>
      <c r="M540" s="172" t="s">
        <v>649</v>
      </c>
    </row>
    <row r="541" spans="1:13" s="5" customFormat="1" x14ac:dyDescent="0.25">
      <c r="A541" s="39">
        <f t="shared" si="8"/>
        <v>540</v>
      </c>
      <c r="B541" s="176" t="s">
        <v>765</v>
      </c>
      <c r="C541" s="87" t="s">
        <v>12</v>
      </c>
      <c r="D541" s="5" t="s">
        <v>127</v>
      </c>
      <c r="E541" s="5" t="s">
        <v>14</v>
      </c>
      <c r="F541" s="42" t="s">
        <v>629</v>
      </c>
      <c r="G541" s="41" t="s">
        <v>15</v>
      </c>
      <c r="H541" s="41" t="s">
        <v>16</v>
      </c>
      <c r="I541" s="87"/>
      <c r="J541" s="5" t="s">
        <v>650</v>
      </c>
      <c r="K541" s="44"/>
      <c r="M541" s="172" t="s">
        <v>651</v>
      </c>
    </row>
    <row r="542" spans="1:13" s="5" customFormat="1" x14ac:dyDescent="0.25">
      <c r="A542" s="39">
        <f t="shared" si="8"/>
        <v>541</v>
      </c>
      <c r="B542" s="176" t="s">
        <v>765</v>
      </c>
      <c r="C542" s="87" t="s">
        <v>12</v>
      </c>
      <c r="D542" s="5" t="s">
        <v>127</v>
      </c>
      <c r="E542" s="5" t="s">
        <v>14</v>
      </c>
      <c r="F542" s="42" t="s">
        <v>629</v>
      </c>
      <c r="G542" s="41" t="s">
        <v>15</v>
      </c>
      <c r="H542" s="41" t="s">
        <v>859</v>
      </c>
      <c r="I542" s="87"/>
      <c r="J542" s="5" t="s">
        <v>652</v>
      </c>
      <c r="K542" s="44"/>
      <c r="M542" s="172" t="s">
        <v>653</v>
      </c>
    </row>
    <row r="543" spans="1:13" s="5" customFormat="1" x14ac:dyDescent="0.25">
      <c r="A543" s="39">
        <f t="shared" si="8"/>
        <v>542</v>
      </c>
      <c r="B543" s="176" t="s">
        <v>765</v>
      </c>
      <c r="C543" s="87" t="s">
        <v>12</v>
      </c>
      <c r="D543" s="5" t="s">
        <v>127</v>
      </c>
      <c r="E543" s="5" t="s">
        <v>14</v>
      </c>
      <c r="F543" s="42" t="s">
        <v>629</v>
      </c>
      <c r="G543" s="41" t="s">
        <v>15</v>
      </c>
      <c r="H543" s="41" t="s">
        <v>16</v>
      </c>
      <c r="I543" s="87"/>
      <c r="J543" s="5" t="s">
        <v>31</v>
      </c>
      <c r="K543" s="44"/>
      <c r="M543" s="172" t="s">
        <v>651</v>
      </c>
    </row>
    <row r="544" spans="1:13" s="5" customFormat="1" x14ac:dyDescent="0.25">
      <c r="A544" s="8">
        <f t="shared" si="8"/>
        <v>543</v>
      </c>
      <c r="B544" s="32" t="s">
        <v>765</v>
      </c>
      <c r="C544" s="85" t="s">
        <v>12</v>
      </c>
      <c r="D544" s="9" t="s">
        <v>13</v>
      </c>
      <c r="E544" s="9" t="s">
        <v>14</v>
      </c>
      <c r="F544" s="9" t="s">
        <v>760</v>
      </c>
      <c r="G544" s="11" t="s">
        <v>15</v>
      </c>
      <c r="H544" s="11" t="s">
        <v>63</v>
      </c>
      <c r="I544" s="87"/>
      <c r="K544" s="44"/>
      <c r="M544" s="44"/>
    </row>
    <row r="545" spans="1:13" s="5" customFormat="1" x14ac:dyDescent="0.25">
      <c r="A545" s="39">
        <f t="shared" ref="A545:A558" si="9">A544+1</f>
        <v>544</v>
      </c>
      <c r="B545" s="176" t="s">
        <v>765</v>
      </c>
      <c r="C545" s="87" t="s">
        <v>12</v>
      </c>
      <c r="D545" s="5" t="s">
        <v>127</v>
      </c>
      <c r="E545" s="5" t="s">
        <v>14</v>
      </c>
      <c r="F545" s="42" t="s">
        <v>629</v>
      </c>
      <c r="G545" s="41" t="s">
        <v>15</v>
      </c>
      <c r="H545" s="41" t="s">
        <v>16</v>
      </c>
      <c r="I545" s="87"/>
      <c r="J545" s="42" t="s">
        <v>17</v>
      </c>
      <c r="K545" s="44" t="s">
        <v>630</v>
      </c>
      <c r="L545" s="5" t="s">
        <v>799</v>
      </c>
      <c r="M545" s="172" t="s">
        <v>631</v>
      </c>
    </row>
    <row r="546" spans="1:13" s="5" customFormat="1" x14ac:dyDescent="0.25">
      <c r="A546" s="39">
        <f t="shared" si="9"/>
        <v>545</v>
      </c>
      <c r="B546" s="176" t="s">
        <v>765</v>
      </c>
      <c r="C546" s="87" t="s">
        <v>12</v>
      </c>
      <c r="D546" s="5" t="s">
        <v>127</v>
      </c>
      <c r="E546" s="5" t="s">
        <v>14</v>
      </c>
      <c r="F546" s="42" t="s">
        <v>629</v>
      </c>
      <c r="G546" s="41" t="s">
        <v>15</v>
      </c>
      <c r="H546" s="41" t="s">
        <v>16</v>
      </c>
      <c r="I546" s="87"/>
      <c r="J546" s="42" t="s">
        <v>17</v>
      </c>
      <c r="K546" s="172" t="s">
        <v>857</v>
      </c>
      <c r="M546" s="172" t="s">
        <v>645</v>
      </c>
    </row>
    <row r="547" spans="1:13" s="5" customFormat="1" x14ac:dyDescent="0.25">
      <c r="A547" s="39">
        <f t="shared" si="9"/>
        <v>546</v>
      </c>
      <c r="B547" s="176" t="s">
        <v>765</v>
      </c>
      <c r="C547" s="87" t="s">
        <v>12</v>
      </c>
      <c r="D547" s="5" t="s">
        <v>177</v>
      </c>
      <c r="E547" s="5" t="s">
        <v>14</v>
      </c>
      <c r="F547" s="5" t="s">
        <v>654</v>
      </c>
      <c r="G547" s="41" t="s">
        <v>98</v>
      </c>
      <c r="H547" s="41" t="s">
        <v>16</v>
      </c>
      <c r="I547" s="87"/>
      <c r="J547" s="42" t="s">
        <v>17</v>
      </c>
      <c r="K547" s="172" t="s">
        <v>655</v>
      </c>
      <c r="L547" s="42" t="s">
        <v>780</v>
      </c>
      <c r="M547" s="172" t="s">
        <v>656</v>
      </c>
    </row>
    <row r="548" spans="1:13" s="5" customFormat="1" x14ac:dyDescent="0.25">
      <c r="A548" s="26">
        <f t="shared" si="9"/>
        <v>547</v>
      </c>
      <c r="B548" s="26" t="s">
        <v>765</v>
      </c>
      <c r="C548" s="88" t="s">
        <v>12</v>
      </c>
      <c r="D548" s="27" t="s">
        <v>177</v>
      </c>
      <c r="E548" s="27" t="s">
        <v>14</v>
      </c>
      <c r="F548" s="27" t="s">
        <v>654</v>
      </c>
      <c r="G548" s="29" t="s">
        <v>98</v>
      </c>
      <c r="H548" s="29" t="s">
        <v>412</v>
      </c>
      <c r="I548" s="88"/>
      <c r="J548" s="27"/>
      <c r="K548" s="30"/>
      <c r="L548" s="27"/>
      <c r="M548" s="30"/>
    </row>
    <row r="549" spans="1:13" s="5" customFormat="1" x14ac:dyDescent="0.25">
      <c r="A549" s="39">
        <f t="shared" si="9"/>
        <v>548</v>
      </c>
      <c r="B549" s="39" t="s">
        <v>765</v>
      </c>
      <c r="C549" s="87" t="s">
        <v>12</v>
      </c>
      <c r="D549" s="5" t="s">
        <v>177</v>
      </c>
      <c r="E549" s="5" t="s">
        <v>14</v>
      </c>
      <c r="F549" s="5" t="s">
        <v>654</v>
      </c>
      <c r="G549" s="41" t="s">
        <v>98</v>
      </c>
      <c r="H549" s="41" t="s">
        <v>16</v>
      </c>
      <c r="I549" s="87"/>
      <c r="J549" s="42" t="s">
        <v>657</v>
      </c>
      <c r="K549" s="172" t="s">
        <v>658</v>
      </c>
      <c r="M549" s="172" t="s">
        <v>584</v>
      </c>
    </row>
    <row r="550" spans="1:13" s="5" customFormat="1" x14ac:dyDescent="0.25">
      <c r="A550" s="14">
        <f t="shared" si="9"/>
        <v>549</v>
      </c>
      <c r="B550" s="14" t="s">
        <v>765</v>
      </c>
      <c r="C550" s="86" t="s">
        <v>12</v>
      </c>
      <c r="D550" s="15" t="s">
        <v>177</v>
      </c>
      <c r="E550" s="15" t="s">
        <v>14</v>
      </c>
      <c r="F550" s="15" t="s">
        <v>654</v>
      </c>
      <c r="G550" s="18" t="s">
        <v>98</v>
      </c>
      <c r="H550" s="19" t="s">
        <v>122</v>
      </c>
      <c r="I550" s="86"/>
      <c r="J550" s="15"/>
      <c r="K550" s="16"/>
      <c r="L550" s="15"/>
      <c r="M550" s="16"/>
    </row>
    <row r="551" spans="1:13" s="5" customFormat="1" ht="45" x14ac:dyDescent="0.25">
      <c r="A551" s="39">
        <f t="shared" si="9"/>
        <v>550</v>
      </c>
      <c r="B551" s="39" t="s">
        <v>765</v>
      </c>
      <c r="C551" s="87" t="s">
        <v>12</v>
      </c>
      <c r="D551" s="5" t="s">
        <v>177</v>
      </c>
      <c r="E551" s="5" t="s">
        <v>14</v>
      </c>
      <c r="F551" s="5" t="s">
        <v>654</v>
      </c>
      <c r="G551" s="41" t="s">
        <v>98</v>
      </c>
      <c r="H551" s="41" t="s">
        <v>16</v>
      </c>
      <c r="I551" s="87"/>
      <c r="J551" s="5" t="s">
        <v>31</v>
      </c>
      <c r="K551" s="172" t="s">
        <v>659</v>
      </c>
      <c r="M551" s="172" t="s">
        <v>660</v>
      </c>
    </row>
    <row r="552" spans="1:13" s="5" customFormat="1" x14ac:dyDescent="0.25">
      <c r="A552" s="39">
        <f t="shared" si="9"/>
        <v>551</v>
      </c>
      <c r="B552" s="39" t="s">
        <v>765</v>
      </c>
      <c r="C552" s="87" t="s">
        <v>12</v>
      </c>
      <c r="D552" s="5" t="s">
        <v>177</v>
      </c>
      <c r="E552" s="5" t="s">
        <v>14</v>
      </c>
      <c r="F552" s="5" t="s">
        <v>654</v>
      </c>
      <c r="G552" s="41" t="s">
        <v>98</v>
      </c>
      <c r="H552" s="41" t="s">
        <v>16</v>
      </c>
      <c r="I552" s="87"/>
      <c r="J552" s="42"/>
      <c r="K552" s="44"/>
      <c r="M552" s="44"/>
    </row>
    <row r="553" spans="1:13" s="5" customFormat="1" x14ac:dyDescent="0.25">
      <c r="A553" s="39">
        <f t="shared" si="9"/>
        <v>552</v>
      </c>
      <c r="B553" s="39" t="s">
        <v>765</v>
      </c>
      <c r="C553" s="87" t="s">
        <v>12</v>
      </c>
      <c r="D553" s="5" t="s">
        <v>177</v>
      </c>
      <c r="E553" s="5" t="s">
        <v>14</v>
      </c>
      <c r="F553" s="5" t="s">
        <v>654</v>
      </c>
      <c r="G553" s="41" t="s">
        <v>98</v>
      </c>
      <c r="H553" s="41" t="s">
        <v>16</v>
      </c>
      <c r="I553" s="87"/>
      <c r="J553" s="42" t="s">
        <v>17</v>
      </c>
      <c r="K553" s="172" t="s">
        <v>578</v>
      </c>
      <c r="L553" s="42" t="s">
        <v>579</v>
      </c>
      <c r="M553" s="172" t="s">
        <v>661</v>
      </c>
    </row>
    <row r="554" spans="1:13" s="5" customFormat="1" ht="30" x14ac:dyDescent="0.25">
      <c r="A554" s="39">
        <f t="shared" si="9"/>
        <v>553</v>
      </c>
      <c r="B554" s="175" t="s">
        <v>765</v>
      </c>
      <c r="C554" s="87" t="s">
        <v>12</v>
      </c>
      <c r="D554" s="5" t="s">
        <v>177</v>
      </c>
      <c r="E554" s="5" t="s">
        <v>14</v>
      </c>
      <c r="F554" s="5" t="s">
        <v>654</v>
      </c>
      <c r="G554" s="41" t="s">
        <v>98</v>
      </c>
      <c r="H554" s="41" t="s">
        <v>233</v>
      </c>
      <c r="I554" s="87" t="s">
        <v>22</v>
      </c>
      <c r="J554" s="5" t="s">
        <v>17</v>
      </c>
      <c r="K554" s="172" t="s">
        <v>778</v>
      </c>
      <c r="L554" s="42"/>
      <c r="M554" s="172" t="s">
        <v>662</v>
      </c>
    </row>
    <row r="555" spans="1:13" s="5" customFormat="1" x14ac:dyDescent="0.25">
      <c r="A555" s="39">
        <f t="shared" si="9"/>
        <v>554</v>
      </c>
      <c r="B555" s="175" t="s">
        <v>765</v>
      </c>
      <c r="C555" s="87" t="s">
        <v>12</v>
      </c>
      <c r="D555" s="5" t="s">
        <v>177</v>
      </c>
      <c r="E555" s="5" t="s">
        <v>14</v>
      </c>
      <c r="F555" s="5" t="s">
        <v>654</v>
      </c>
      <c r="G555" s="41" t="s">
        <v>98</v>
      </c>
      <c r="H555" s="41" t="s">
        <v>16</v>
      </c>
      <c r="I555" s="87"/>
      <c r="J555" s="5" t="s">
        <v>31</v>
      </c>
      <c r="K555" s="172" t="s">
        <v>663</v>
      </c>
      <c r="L555" s="42" t="s">
        <v>664</v>
      </c>
      <c r="M555" s="44" t="s">
        <v>665</v>
      </c>
    </row>
    <row r="556" spans="1:13" s="5" customFormat="1" x14ac:dyDescent="0.25">
      <c r="A556" s="39">
        <f t="shared" si="9"/>
        <v>555</v>
      </c>
      <c r="B556" s="175" t="s">
        <v>765</v>
      </c>
      <c r="C556" s="87" t="s">
        <v>12</v>
      </c>
      <c r="D556" s="5" t="s">
        <v>177</v>
      </c>
      <c r="E556" s="5" t="s">
        <v>14</v>
      </c>
      <c r="F556" s="5" t="s">
        <v>654</v>
      </c>
      <c r="G556" s="41" t="s">
        <v>98</v>
      </c>
      <c r="H556" s="46" t="s">
        <v>793</v>
      </c>
      <c r="I556" s="42" t="s">
        <v>812</v>
      </c>
      <c r="J556" s="5" t="s">
        <v>215</v>
      </c>
      <c r="K556" s="44"/>
      <c r="M556" s="44"/>
    </row>
    <row r="557" spans="1:13" s="5" customFormat="1" x14ac:dyDescent="0.25">
      <c r="A557" s="39">
        <f t="shared" si="9"/>
        <v>556</v>
      </c>
      <c r="B557" s="175" t="s">
        <v>765</v>
      </c>
      <c r="C557" s="87" t="s">
        <v>12</v>
      </c>
      <c r="D557" s="5" t="s">
        <v>177</v>
      </c>
      <c r="E557" s="5" t="s">
        <v>14</v>
      </c>
      <c r="F557" s="5" t="s">
        <v>654</v>
      </c>
      <c r="G557" s="41" t="s">
        <v>98</v>
      </c>
      <c r="H557" s="41" t="s">
        <v>16</v>
      </c>
      <c r="I557" s="87"/>
      <c r="J557" s="5" t="s">
        <v>544</v>
      </c>
      <c r="K557" s="44" t="s">
        <v>858</v>
      </c>
      <c r="M557" s="44" t="s">
        <v>666</v>
      </c>
    </row>
    <row r="558" spans="1:13" s="5" customFormat="1" x14ac:dyDescent="0.25">
      <c r="A558" s="39">
        <f t="shared" si="9"/>
        <v>557</v>
      </c>
      <c r="B558" s="175" t="s">
        <v>765</v>
      </c>
      <c r="C558" s="87" t="s">
        <v>12</v>
      </c>
      <c r="D558" s="5" t="s">
        <v>177</v>
      </c>
      <c r="E558" s="5" t="s">
        <v>14</v>
      </c>
      <c r="F558" s="5" t="s">
        <v>654</v>
      </c>
      <c r="G558" s="41" t="s">
        <v>98</v>
      </c>
      <c r="H558" s="41" t="s">
        <v>16</v>
      </c>
      <c r="I558" s="42"/>
      <c r="J558" s="5" t="s">
        <v>17</v>
      </c>
      <c r="K558" s="172" t="s">
        <v>667</v>
      </c>
      <c r="M558" s="44"/>
    </row>
  </sheetData>
  <autoFilter ref="A1:M558" xr:uid="{54BE4FD1-AF94-4CBA-8F4E-FD3167411497}">
    <sortState xmlns:xlrd2="http://schemas.microsoft.com/office/spreadsheetml/2017/richdata2" ref="A33:M544">
      <sortCondition ref="F1:F558"/>
    </sortState>
  </autoFilter>
  <hyperlinks>
    <hyperlink ref="L436" r:id="rId1" display="https://checko.ru/company/select?code=721900" xr:uid="{988F12CE-DD80-4B4B-872F-6BD72883B560}"/>
    <hyperlink ref="K467" r:id="rId2" display="https://ookashin.ru/" xr:uid="{7D6A2F6E-788A-4E12-AE6C-42250A58C26C}"/>
    <hyperlink ref="L175" r:id="rId3" display="https://checko.ru/company/select?code=620100" xr:uid="{04F2760F-C959-4602-836F-60E9B33C4B29}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B8BE-00C1-496E-9CEF-6DEE852973BE}">
  <dimension ref="A1:M114"/>
  <sheetViews>
    <sheetView zoomScale="70" zoomScaleNormal="70" workbookViewId="0">
      <pane ySplit="1" topLeftCell="A80" activePane="bottomLeft" state="frozen"/>
      <selection pane="bottomLeft" activeCell="C20" sqref="C19:C20"/>
    </sheetView>
  </sheetViews>
  <sheetFormatPr defaultColWidth="10" defaultRowHeight="15" x14ac:dyDescent="0.25"/>
  <cols>
    <col min="1" max="1" width="24.140625" customWidth="1"/>
    <col min="2" max="2" width="84.140625" customWidth="1"/>
    <col min="3" max="3" width="39.42578125" customWidth="1"/>
    <col min="4" max="4" width="27.42578125" customWidth="1"/>
    <col min="5" max="5" width="65.42578125" customWidth="1"/>
    <col min="6" max="6" width="35.85546875" customWidth="1"/>
    <col min="7" max="7" width="10.140625" customWidth="1"/>
    <col min="8" max="8" width="12" customWidth="1"/>
    <col min="9" max="9" width="25" customWidth="1"/>
    <col min="10" max="10" width="18.7109375" customWidth="1"/>
    <col min="11" max="11" width="45.7109375" customWidth="1"/>
    <col min="12" max="12" width="42" style="252" customWidth="1"/>
    <col min="13" max="13" width="50.5703125" style="252" customWidth="1"/>
  </cols>
  <sheetData>
    <row r="1" spans="1:13" s="261" customFormat="1" ht="69.75" x14ac:dyDescent="0.25">
      <c r="A1" s="257" t="s">
        <v>825</v>
      </c>
      <c r="B1" s="257" t="s">
        <v>822</v>
      </c>
      <c r="C1" s="257" t="s">
        <v>824</v>
      </c>
      <c r="D1" s="257" t="s">
        <v>823</v>
      </c>
      <c r="E1" s="257" t="s">
        <v>834</v>
      </c>
      <c r="F1" s="257" t="s">
        <v>835</v>
      </c>
      <c r="G1" s="257" t="s">
        <v>122</v>
      </c>
      <c r="H1" s="257" t="s">
        <v>412</v>
      </c>
      <c r="I1" s="258" t="s">
        <v>846</v>
      </c>
      <c r="J1" s="258" t="s">
        <v>826</v>
      </c>
      <c r="K1" s="259" t="s">
        <v>838</v>
      </c>
      <c r="L1" s="260" t="s">
        <v>860</v>
      </c>
      <c r="M1" s="260" t="s">
        <v>861</v>
      </c>
    </row>
    <row r="2" spans="1:13" ht="21.75" thickBot="1" x14ac:dyDescent="0.4">
      <c r="A2" s="262"/>
      <c r="B2" s="245" t="s">
        <v>829</v>
      </c>
      <c r="C2" s="246"/>
      <c r="D2" s="246"/>
      <c r="E2" s="246"/>
      <c r="F2" s="246"/>
      <c r="G2" s="246"/>
      <c r="H2" s="246"/>
      <c r="I2" s="247"/>
      <c r="J2" s="247"/>
      <c r="K2" s="248"/>
      <c r="L2" s="250"/>
      <c r="M2" s="251"/>
    </row>
    <row r="3" spans="1:13" ht="17.25" x14ac:dyDescent="0.3">
      <c r="A3" s="271" t="s">
        <v>762</v>
      </c>
      <c r="B3" s="31" t="s">
        <v>11</v>
      </c>
      <c r="C3" s="31">
        <v>9</v>
      </c>
      <c r="D3" s="31">
        <v>1</v>
      </c>
      <c r="E3" s="31">
        <v>1</v>
      </c>
      <c r="F3" s="31">
        <v>7</v>
      </c>
      <c r="G3" s="31">
        <v>0</v>
      </c>
      <c r="H3" s="31">
        <v>0</v>
      </c>
      <c r="I3" s="149">
        <v>0</v>
      </c>
      <c r="J3" s="149">
        <v>0</v>
      </c>
      <c r="K3" s="132">
        <f t="shared" ref="K3:K16" si="0">(D3+E3)/C3</f>
        <v>0.22222222222222221</v>
      </c>
      <c r="L3" s="252">
        <f>SUM(D3,E3,F3,G3,H3)</f>
        <v>9</v>
      </c>
      <c r="M3" s="253">
        <f>(L3/C3)</f>
        <v>1</v>
      </c>
    </row>
    <row r="4" spans="1:13" ht="17.25" x14ac:dyDescent="0.3">
      <c r="A4" s="272"/>
      <c r="B4" s="38" t="s">
        <v>35</v>
      </c>
      <c r="C4" s="31">
        <v>20</v>
      </c>
      <c r="D4" s="31">
        <v>8</v>
      </c>
      <c r="E4" s="31">
        <v>2</v>
      </c>
      <c r="F4" s="31">
        <v>3</v>
      </c>
      <c r="G4" s="31">
        <v>1</v>
      </c>
      <c r="H4" s="31">
        <v>0</v>
      </c>
      <c r="I4" s="103">
        <v>2</v>
      </c>
      <c r="J4" s="103">
        <v>4</v>
      </c>
      <c r="K4" s="133">
        <f t="shared" si="0"/>
        <v>0.5</v>
      </c>
      <c r="L4" s="252">
        <f>SUM(D4,E4,F4,G4,H4)</f>
        <v>14</v>
      </c>
      <c r="M4" s="253">
        <f>(L4/C4)</f>
        <v>0.7</v>
      </c>
    </row>
    <row r="5" spans="1:13" ht="17.25" x14ac:dyDescent="0.3">
      <c r="A5" s="272"/>
      <c r="B5" s="38" t="s">
        <v>769</v>
      </c>
      <c r="C5" s="31">
        <v>2</v>
      </c>
      <c r="D5" s="31">
        <v>1</v>
      </c>
      <c r="E5" s="31">
        <v>0</v>
      </c>
      <c r="F5" s="31">
        <v>1</v>
      </c>
      <c r="G5" s="31">
        <v>0</v>
      </c>
      <c r="H5" s="31">
        <v>0</v>
      </c>
      <c r="I5" s="103">
        <v>0</v>
      </c>
      <c r="J5" s="103">
        <v>0</v>
      </c>
      <c r="K5" s="133">
        <f t="shared" si="0"/>
        <v>0.5</v>
      </c>
      <c r="L5" s="252">
        <f t="shared" ref="L5:L15" si="1">SUM(D5,E5,F5,G5,H5)</f>
        <v>2</v>
      </c>
      <c r="M5" s="253">
        <f t="shared" ref="M5:M15" si="2">(L5/C5)</f>
        <v>1</v>
      </c>
    </row>
    <row r="6" spans="1:13" ht="17.25" x14ac:dyDescent="0.3">
      <c r="A6" s="272"/>
      <c r="B6" s="104" t="s">
        <v>827</v>
      </c>
      <c r="C6" s="31">
        <v>16</v>
      </c>
      <c r="D6" s="31">
        <v>6</v>
      </c>
      <c r="E6" s="31">
        <v>3</v>
      </c>
      <c r="F6" s="31">
        <v>5</v>
      </c>
      <c r="G6" s="31">
        <v>0</v>
      </c>
      <c r="H6" s="31">
        <v>0</v>
      </c>
      <c r="I6" s="103">
        <v>1</v>
      </c>
      <c r="J6" s="103">
        <v>1</v>
      </c>
      <c r="K6" s="133">
        <f t="shared" si="0"/>
        <v>0.5625</v>
      </c>
      <c r="L6" s="252">
        <f t="shared" si="1"/>
        <v>14</v>
      </c>
      <c r="M6" s="253">
        <f t="shared" si="2"/>
        <v>0.875</v>
      </c>
    </row>
    <row r="7" spans="1:13" ht="17.25" x14ac:dyDescent="0.3">
      <c r="A7" s="272"/>
      <c r="B7" s="104" t="s">
        <v>828</v>
      </c>
      <c r="C7" s="31">
        <v>36</v>
      </c>
      <c r="D7" s="31">
        <v>7</v>
      </c>
      <c r="E7" s="31">
        <v>15</v>
      </c>
      <c r="F7" s="31">
        <v>12</v>
      </c>
      <c r="G7" s="31">
        <v>1</v>
      </c>
      <c r="H7" s="31">
        <v>0</v>
      </c>
      <c r="I7" s="103">
        <v>1</v>
      </c>
      <c r="J7" s="103">
        <v>0</v>
      </c>
      <c r="K7" s="133">
        <f t="shared" si="0"/>
        <v>0.61111111111111116</v>
      </c>
      <c r="L7" s="252">
        <f t="shared" si="1"/>
        <v>35</v>
      </c>
      <c r="M7" s="253">
        <f t="shared" si="2"/>
        <v>0.97222222222222221</v>
      </c>
    </row>
    <row r="8" spans="1:13" ht="17.25" x14ac:dyDescent="0.3">
      <c r="A8" s="272"/>
      <c r="B8" s="38" t="s">
        <v>736</v>
      </c>
      <c r="C8" s="31">
        <v>11</v>
      </c>
      <c r="D8" s="31">
        <v>3</v>
      </c>
      <c r="E8" s="31">
        <v>4</v>
      </c>
      <c r="F8" s="31">
        <v>2</v>
      </c>
      <c r="G8" s="31">
        <v>1</v>
      </c>
      <c r="H8" s="31">
        <v>0</v>
      </c>
      <c r="I8" s="103">
        <v>1</v>
      </c>
      <c r="J8" s="103">
        <v>0</v>
      </c>
      <c r="K8" s="133">
        <f t="shared" si="0"/>
        <v>0.63636363636363635</v>
      </c>
      <c r="L8" s="252">
        <f t="shared" si="1"/>
        <v>10</v>
      </c>
      <c r="M8" s="253">
        <f t="shared" si="2"/>
        <v>0.90909090909090906</v>
      </c>
    </row>
    <row r="9" spans="1:13" ht="17.25" x14ac:dyDescent="0.3">
      <c r="A9" s="272"/>
      <c r="B9" s="38" t="s">
        <v>737</v>
      </c>
      <c r="C9" s="31">
        <v>7</v>
      </c>
      <c r="D9" s="31">
        <v>1</v>
      </c>
      <c r="E9" s="31">
        <v>3</v>
      </c>
      <c r="F9" s="31">
        <v>2</v>
      </c>
      <c r="G9" s="31">
        <v>0</v>
      </c>
      <c r="H9" s="31">
        <v>0</v>
      </c>
      <c r="I9" s="103">
        <v>1</v>
      </c>
      <c r="J9" s="103">
        <v>0</v>
      </c>
      <c r="K9" s="133">
        <f t="shared" si="0"/>
        <v>0.5714285714285714</v>
      </c>
      <c r="L9" s="252">
        <f t="shared" si="1"/>
        <v>6</v>
      </c>
      <c r="M9" s="253">
        <f t="shared" si="2"/>
        <v>0.8571428571428571</v>
      </c>
    </row>
    <row r="10" spans="1:13" ht="17.25" x14ac:dyDescent="0.3">
      <c r="A10" s="272"/>
      <c r="B10" s="38" t="s">
        <v>739</v>
      </c>
      <c r="C10" s="31">
        <v>32</v>
      </c>
      <c r="D10" s="31">
        <v>8</v>
      </c>
      <c r="E10" s="31">
        <v>5</v>
      </c>
      <c r="F10" s="31">
        <v>9</v>
      </c>
      <c r="G10" s="31">
        <v>0</v>
      </c>
      <c r="H10" s="31">
        <v>0</v>
      </c>
      <c r="I10" s="103">
        <v>10</v>
      </c>
      <c r="J10" s="103">
        <v>0</v>
      </c>
      <c r="K10" s="133">
        <f t="shared" si="0"/>
        <v>0.40625</v>
      </c>
      <c r="L10" s="252">
        <f t="shared" si="1"/>
        <v>22</v>
      </c>
      <c r="M10" s="253">
        <f t="shared" si="2"/>
        <v>0.6875</v>
      </c>
    </row>
    <row r="11" spans="1:13" ht="17.25" x14ac:dyDescent="0.3">
      <c r="A11" s="272"/>
      <c r="B11" s="38" t="s">
        <v>738</v>
      </c>
      <c r="C11" s="31">
        <v>8</v>
      </c>
      <c r="D11" s="31">
        <v>3</v>
      </c>
      <c r="E11" s="31">
        <v>2</v>
      </c>
      <c r="F11" s="31">
        <v>2</v>
      </c>
      <c r="G11" s="31">
        <v>0</v>
      </c>
      <c r="H11" s="31">
        <v>0</v>
      </c>
      <c r="I11" s="103">
        <v>1</v>
      </c>
      <c r="J11" s="103">
        <v>0</v>
      </c>
      <c r="K11" s="133">
        <f t="shared" si="0"/>
        <v>0.625</v>
      </c>
      <c r="L11" s="252">
        <f t="shared" si="1"/>
        <v>7</v>
      </c>
      <c r="M11" s="253">
        <f t="shared" si="2"/>
        <v>0.875</v>
      </c>
    </row>
    <row r="12" spans="1:13" ht="17.25" x14ac:dyDescent="0.3">
      <c r="A12" s="272"/>
      <c r="B12" s="31" t="s">
        <v>165</v>
      </c>
      <c r="C12" s="31">
        <v>51</v>
      </c>
      <c r="D12" s="31">
        <v>13</v>
      </c>
      <c r="E12" s="31">
        <v>15</v>
      </c>
      <c r="F12" s="31">
        <v>13</v>
      </c>
      <c r="G12" s="31">
        <v>2</v>
      </c>
      <c r="H12" s="31">
        <v>0</v>
      </c>
      <c r="I12" s="103">
        <v>6</v>
      </c>
      <c r="J12" s="103">
        <v>2</v>
      </c>
      <c r="K12" s="133">
        <f t="shared" si="0"/>
        <v>0.5490196078431373</v>
      </c>
      <c r="L12" s="252">
        <f t="shared" si="1"/>
        <v>43</v>
      </c>
      <c r="M12" s="253">
        <f t="shared" si="2"/>
        <v>0.84313725490196079</v>
      </c>
    </row>
    <row r="13" spans="1:13" ht="17.25" x14ac:dyDescent="0.3">
      <c r="A13" s="272"/>
      <c r="B13" s="31" t="s">
        <v>209</v>
      </c>
      <c r="C13" s="31">
        <v>13</v>
      </c>
      <c r="D13" s="31">
        <v>5</v>
      </c>
      <c r="E13" s="31">
        <v>3</v>
      </c>
      <c r="F13" s="31">
        <v>5</v>
      </c>
      <c r="G13" s="31">
        <v>0</v>
      </c>
      <c r="H13" s="31">
        <v>0</v>
      </c>
      <c r="I13" s="103">
        <v>0</v>
      </c>
      <c r="J13" s="103">
        <v>0</v>
      </c>
      <c r="K13" s="133">
        <f t="shared" si="0"/>
        <v>0.61538461538461542</v>
      </c>
      <c r="L13" s="252">
        <f t="shared" si="1"/>
        <v>13</v>
      </c>
      <c r="M13" s="253">
        <f t="shared" si="2"/>
        <v>1</v>
      </c>
    </row>
    <row r="14" spans="1:13" ht="17.25" x14ac:dyDescent="0.3">
      <c r="A14" s="272"/>
      <c r="B14" s="31" t="s">
        <v>740</v>
      </c>
      <c r="C14" s="31">
        <v>8</v>
      </c>
      <c r="D14" s="31">
        <v>5</v>
      </c>
      <c r="E14" s="31">
        <v>1</v>
      </c>
      <c r="F14" s="31">
        <v>2</v>
      </c>
      <c r="G14" s="31">
        <v>0</v>
      </c>
      <c r="H14" s="31">
        <v>0</v>
      </c>
      <c r="I14" s="103">
        <v>0</v>
      </c>
      <c r="J14" s="103">
        <v>0</v>
      </c>
      <c r="K14" s="133">
        <f t="shared" si="0"/>
        <v>0.75</v>
      </c>
      <c r="L14" s="252">
        <f t="shared" si="1"/>
        <v>8</v>
      </c>
      <c r="M14" s="253">
        <f t="shared" si="2"/>
        <v>1</v>
      </c>
    </row>
    <row r="15" spans="1:13" ht="18" thickBot="1" x14ac:dyDescent="0.35">
      <c r="A15" s="272"/>
      <c r="B15" s="105" t="s">
        <v>220</v>
      </c>
      <c r="C15" s="105">
        <v>7</v>
      </c>
      <c r="D15" s="105">
        <v>3</v>
      </c>
      <c r="E15" s="105">
        <v>2</v>
      </c>
      <c r="F15" s="105">
        <v>1</v>
      </c>
      <c r="G15" s="105">
        <v>0</v>
      </c>
      <c r="H15" s="105">
        <v>0</v>
      </c>
      <c r="I15" s="106">
        <v>1</v>
      </c>
      <c r="J15" s="106">
        <v>0</v>
      </c>
      <c r="K15" s="151">
        <f t="shared" si="0"/>
        <v>0.7142857142857143</v>
      </c>
      <c r="L15" s="252">
        <f t="shared" si="1"/>
        <v>6</v>
      </c>
      <c r="M15" s="253">
        <f t="shared" si="2"/>
        <v>0.8571428571428571</v>
      </c>
    </row>
    <row r="16" spans="1:13" ht="18.75" x14ac:dyDescent="0.3">
      <c r="A16" s="153" t="s">
        <v>832</v>
      </c>
      <c r="B16" s="100"/>
      <c r="C16" s="154">
        <f t="shared" ref="C16:H16" si="3">SUM(C3:C15)</f>
        <v>220</v>
      </c>
      <c r="D16" s="154">
        <f t="shared" si="3"/>
        <v>64</v>
      </c>
      <c r="E16" s="154">
        <f t="shared" si="3"/>
        <v>56</v>
      </c>
      <c r="F16" s="154">
        <f t="shared" si="3"/>
        <v>64</v>
      </c>
      <c r="G16" s="154">
        <f t="shared" si="3"/>
        <v>5</v>
      </c>
      <c r="H16" s="154">
        <f t="shared" si="3"/>
        <v>0</v>
      </c>
      <c r="I16" s="154">
        <f>SUM(I3:I15)</f>
        <v>24</v>
      </c>
      <c r="J16" s="154">
        <f>SUM(J3:J15)</f>
        <v>7</v>
      </c>
      <c r="K16" s="134">
        <f t="shared" si="0"/>
        <v>0.54545454545454541</v>
      </c>
      <c r="L16" s="254">
        <f>SUM(L3:L15)</f>
        <v>189</v>
      </c>
      <c r="M16" s="255">
        <f>L16/C16</f>
        <v>0.85909090909090913</v>
      </c>
    </row>
    <row r="17" spans="1:13" ht="18" thickBot="1" x14ac:dyDescent="0.35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135"/>
    </row>
    <row r="18" spans="1:13" ht="17.25" x14ac:dyDescent="0.3">
      <c r="A18" s="273" t="s">
        <v>764</v>
      </c>
      <c r="B18" s="107" t="s">
        <v>466</v>
      </c>
      <c r="C18" s="107">
        <v>16</v>
      </c>
      <c r="D18" s="107">
        <v>2</v>
      </c>
      <c r="E18" s="107">
        <v>10</v>
      </c>
      <c r="F18" s="107">
        <v>3</v>
      </c>
      <c r="G18" s="107">
        <v>0</v>
      </c>
      <c r="H18" s="107">
        <v>0</v>
      </c>
      <c r="I18" s="108">
        <v>1</v>
      </c>
      <c r="J18" s="108">
        <v>0</v>
      </c>
      <c r="K18" s="136">
        <f t="shared" ref="K18:K23" si="4">(D18+E18)/C18</f>
        <v>0.75</v>
      </c>
      <c r="L18" s="252">
        <f>D18+E18+F18+G18+H18</f>
        <v>15</v>
      </c>
      <c r="M18" s="253">
        <f>L18/C18</f>
        <v>0.9375</v>
      </c>
    </row>
    <row r="19" spans="1:13" ht="17.25" x14ac:dyDescent="0.3">
      <c r="A19" s="273"/>
      <c r="B19" s="109" t="s">
        <v>481</v>
      </c>
      <c r="C19" s="109">
        <v>9</v>
      </c>
      <c r="D19" s="109">
        <v>2</v>
      </c>
      <c r="E19" s="109">
        <v>2</v>
      </c>
      <c r="F19" s="109">
        <v>5</v>
      </c>
      <c r="G19" s="109">
        <v>0</v>
      </c>
      <c r="H19" s="109">
        <v>0</v>
      </c>
      <c r="I19" s="110">
        <v>0</v>
      </c>
      <c r="J19" s="110">
        <v>0</v>
      </c>
      <c r="K19" s="137">
        <f t="shared" si="4"/>
        <v>0.44444444444444442</v>
      </c>
      <c r="L19" s="252">
        <f t="shared" ref="L19:L22" si="5">D19+E19+F19+G19+H19</f>
        <v>9</v>
      </c>
      <c r="M19" s="253">
        <f t="shared" ref="M19:M22" si="6">L19/C19</f>
        <v>1</v>
      </c>
    </row>
    <row r="20" spans="1:13" ht="17.25" x14ac:dyDescent="0.3">
      <c r="A20" s="273"/>
      <c r="B20" s="111" t="s">
        <v>752</v>
      </c>
      <c r="C20" s="109">
        <v>7</v>
      </c>
      <c r="D20" s="109">
        <v>1</v>
      </c>
      <c r="E20" s="109">
        <v>1</v>
      </c>
      <c r="F20" s="109">
        <v>4</v>
      </c>
      <c r="G20" s="109">
        <v>0</v>
      </c>
      <c r="H20" s="109">
        <v>0</v>
      </c>
      <c r="I20" s="110">
        <v>0</v>
      </c>
      <c r="J20" s="110">
        <v>0</v>
      </c>
      <c r="K20" s="137">
        <f t="shared" si="4"/>
        <v>0.2857142857142857</v>
      </c>
      <c r="L20" s="252">
        <f t="shared" si="5"/>
        <v>6</v>
      </c>
      <c r="M20" s="253">
        <f t="shared" si="6"/>
        <v>0.8571428571428571</v>
      </c>
    </row>
    <row r="21" spans="1:13" ht="17.25" x14ac:dyDescent="0.3">
      <c r="A21" s="273"/>
      <c r="B21" s="111" t="s">
        <v>753</v>
      </c>
      <c r="C21" s="109">
        <v>8</v>
      </c>
      <c r="D21" s="109">
        <v>4</v>
      </c>
      <c r="E21" s="109">
        <v>3</v>
      </c>
      <c r="F21" s="109">
        <v>1</v>
      </c>
      <c r="G21" s="109">
        <v>0</v>
      </c>
      <c r="H21" s="109">
        <v>0</v>
      </c>
      <c r="I21" s="110">
        <v>0</v>
      </c>
      <c r="J21" s="110">
        <v>1</v>
      </c>
      <c r="K21" s="137">
        <f t="shared" si="4"/>
        <v>0.875</v>
      </c>
      <c r="L21" s="252">
        <f t="shared" si="5"/>
        <v>8</v>
      </c>
      <c r="M21" s="253">
        <f t="shared" si="6"/>
        <v>1</v>
      </c>
    </row>
    <row r="22" spans="1:13" ht="18" thickBot="1" x14ac:dyDescent="0.35">
      <c r="A22" s="273"/>
      <c r="B22" s="112" t="s">
        <v>754</v>
      </c>
      <c r="C22" s="113">
        <v>3</v>
      </c>
      <c r="D22" s="113">
        <v>1</v>
      </c>
      <c r="E22" s="113">
        <v>1</v>
      </c>
      <c r="F22" s="113">
        <v>1</v>
      </c>
      <c r="G22" s="113">
        <v>0</v>
      </c>
      <c r="H22" s="113">
        <v>0</v>
      </c>
      <c r="I22" s="114">
        <v>0</v>
      </c>
      <c r="J22" s="114">
        <v>0</v>
      </c>
      <c r="K22" s="138">
        <f t="shared" si="4"/>
        <v>0.66666666666666663</v>
      </c>
      <c r="L22" s="252">
        <f t="shared" si="5"/>
        <v>3</v>
      </c>
      <c r="M22" s="253">
        <f t="shared" si="6"/>
        <v>1</v>
      </c>
    </row>
    <row r="23" spans="1:13" ht="18.75" x14ac:dyDescent="0.3">
      <c r="A23" s="153" t="s">
        <v>832</v>
      </c>
      <c r="B23" s="96"/>
      <c r="C23" s="154">
        <f t="shared" ref="C23:H23" si="7">SUM(C18:C22)</f>
        <v>43</v>
      </c>
      <c r="D23" s="154">
        <f t="shared" si="7"/>
        <v>10</v>
      </c>
      <c r="E23" s="154">
        <f t="shared" si="7"/>
        <v>17</v>
      </c>
      <c r="F23" s="154">
        <f t="shared" si="7"/>
        <v>14</v>
      </c>
      <c r="G23" s="154">
        <f t="shared" si="7"/>
        <v>0</v>
      </c>
      <c r="H23" s="154">
        <f t="shared" si="7"/>
        <v>0</v>
      </c>
      <c r="I23" s="154">
        <f>SUM(I18:I22)</f>
        <v>1</v>
      </c>
      <c r="J23" s="154">
        <f>SUM(J18:J22)</f>
        <v>1</v>
      </c>
      <c r="K23" s="134">
        <f t="shared" si="4"/>
        <v>0.62790697674418605</v>
      </c>
      <c r="L23" s="256">
        <f>SUM(L18:L22)</f>
        <v>41</v>
      </c>
      <c r="M23" s="255">
        <f>L23/C23</f>
        <v>0.95348837209302328</v>
      </c>
    </row>
    <row r="24" spans="1:13" ht="15.75" thickBot="1" x14ac:dyDescent="0.3">
      <c r="A24" s="101"/>
      <c r="B24" s="102"/>
      <c r="C24" s="102"/>
      <c r="D24" s="102"/>
      <c r="E24" s="102"/>
      <c r="F24" s="102"/>
      <c r="G24" s="102"/>
      <c r="H24" s="102"/>
      <c r="I24" s="102"/>
      <c r="J24" s="102"/>
      <c r="K24" s="99"/>
    </row>
    <row r="25" spans="1:13" ht="17.25" x14ac:dyDescent="0.3">
      <c r="A25" s="274" t="s">
        <v>763</v>
      </c>
      <c r="B25" s="115" t="s">
        <v>413</v>
      </c>
      <c r="C25" s="116">
        <v>16</v>
      </c>
      <c r="D25" s="116">
        <v>6</v>
      </c>
      <c r="E25" s="116">
        <v>3</v>
      </c>
      <c r="F25" s="116">
        <v>6</v>
      </c>
      <c r="G25" s="116">
        <v>0</v>
      </c>
      <c r="H25" s="116">
        <v>0</v>
      </c>
      <c r="I25" s="117">
        <v>0</v>
      </c>
      <c r="J25" s="117">
        <v>1</v>
      </c>
      <c r="K25" s="139">
        <f t="shared" ref="K25:K31" si="8">(D25+E25)/C25</f>
        <v>0.5625</v>
      </c>
      <c r="L25" s="252">
        <f>D25+E25+F25+G25+H25</f>
        <v>15</v>
      </c>
      <c r="M25" s="253">
        <f>L25/C25</f>
        <v>0.9375</v>
      </c>
    </row>
    <row r="26" spans="1:13" s="93" customFormat="1" ht="17.25" x14ac:dyDescent="0.3">
      <c r="A26" s="274"/>
      <c r="B26" s="118" t="s">
        <v>417</v>
      </c>
      <c r="C26" s="119">
        <v>11</v>
      </c>
      <c r="D26" s="119">
        <v>3</v>
      </c>
      <c r="E26" s="119">
        <v>7</v>
      </c>
      <c r="F26" s="119">
        <v>0</v>
      </c>
      <c r="G26" s="119">
        <v>0</v>
      </c>
      <c r="H26" s="119">
        <v>0</v>
      </c>
      <c r="I26" s="120">
        <v>1</v>
      </c>
      <c r="J26" s="120">
        <v>0</v>
      </c>
      <c r="K26" s="140">
        <f t="shared" si="8"/>
        <v>0.90909090909090906</v>
      </c>
      <c r="L26" s="252">
        <f t="shared" ref="L26:L30" si="9">D26+E26+F26+G26+H26</f>
        <v>10</v>
      </c>
      <c r="M26" s="253">
        <f t="shared" ref="M26:M30" si="10">L26/C26</f>
        <v>0.90909090909090906</v>
      </c>
    </row>
    <row r="27" spans="1:13" ht="17.25" x14ac:dyDescent="0.3">
      <c r="A27" s="274"/>
      <c r="B27" s="121" t="s">
        <v>425</v>
      </c>
      <c r="C27" s="119">
        <v>9</v>
      </c>
      <c r="D27" s="119">
        <v>1</v>
      </c>
      <c r="E27" s="119">
        <v>7</v>
      </c>
      <c r="F27" s="119">
        <v>1</v>
      </c>
      <c r="G27" s="119">
        <v>0</v>
      </c>
      <c r="H27" s="119">
        <v>0</v>
      </c>
      <c r="I27" s="120">
        <v>0</v>
      </c>
      <c r="J27" s="120">
        <v>0</v>
      </c>
      <c r="K27" s="140">
        <f t="shared" si="8"/>
        <v>0.88888888888888884</v>
      </c>
      <c r="L27" s="252">
        <f t="shared" si="9"/>
        <v>9</v>
      </c>
      <c r="M27" s="253">
        <f t="shared" si="10"/>
        <v>1</v>
      </c>
    </row>
    <row r="28" spans="1:13" ht="17.25" x14ac:dyDescent="0.3">
      <c r="A28" s="274"/>
      <c r="B28" s="121" t="s">
        <v>772</v>
      </c>
      <c r="C28" s="119">
        <v>9</v>
      </c>
      <c r="D28" s="119">
        <v>1</v>
      </c>
      <c r="E28" s="119">
        <v>2</v>
      </c>
      <c r="F28" s="119">
        <v>6</v>
      </c>
      <c r="G28" s="119">
        <v>0</v>
      </c>
      <c r="H28" s="119">
        <v>0</v>
      </c>
      <c r="I28" s="120">
        <v>0</v>
      </c>
      <c r="J28" s="120">
        <v>0</v>
      </c>
      <c r="K28" s="140">
        <f t="shared" si="8"/>
        <v>0.33333333333333331</v>
      </c>
      <c r="L28" s="252">
        <f t="shared" si="9"/>
        <v>9</v>
      </c>
      <c r="M28" s="253">
        <f t="shared" si="10"/>
        <v>1</v>
      </c>
    </row>
    <row r="29" spans="1:13" ht="17.25" x14ac:dyDescent="0.3">
      <c r="A29" s="274"/>
      <c r="B29" s="122" t="s">
        <v>766</v>
      </c>
      <c r="C29" s="119">
        <v>3</v>
      </c>
      <c r="D29" s="119">
        <v>1</v>
      </c>
      <c r="E29" s="119">
        <v>1</v>
      </c>
      <c r="F29" s="119">
        <v>0</v>
      </c>
      <c r="G29" s="119">
        <v>0</v>
      </c>
      <c r="H29" s="119">
        <v>0</v>
      </c>
      <c r="I29" s="120">
        <v>0</v>
      </c>
      <c r="J29" s="120">
        <v>1</v>
      </c>
      <c r="K29" s="140">
        <f t="shared" si="8"/>
        <v>0.66666666666666663</v>
      </c>
      <c r="L29" s="252">
        <f t="shared" si="9"/>
        <v>2</v>
      </c>
      <c r="M29" s="253">
        <f t="shared" si="10"/>
        <v>0.66666666666666663</v>
      </c>
    </row>
    <row r="30" spans="1:13" ht="18" thickBot="1" x14ac:dyDescent="0.35">
      <c r="A30" s="274"/>
      <c r="B30" s="123" t="s">
        <v>437</v>
      </c>
      <c r="C30" s="124">
        <v>13</v>
      </c>
      <c r="D30" s="124">
        <v>10</v>
      </c>
      <c r="E30" s="124">
        <v>1</v>
      </c>
      <c r="F30" s="124">
        <v>1</v>
      </c>
      <c r="G30" s="124">
        <v>1</v>
      </c>
      <c r="H30" s="124">
        <v>0</v>
      </c>
      <c r="I30" s="125">
        <v>0</v>
      </c>
      <c r="J30" s="125">
        <v>0</v>
      </c>
      <c r="K30" s="141">
        <f t="shared" si="8"/>
        <v>0.84615384615384615</v>
      </c>
      <c r="L30" s="252">
        <f t="shared" si="9"/>
        <v>13</v>
      </c>
      <c r="M30" s="253">
        <f t="shared" si="10"/>
        <v>1</v>
      </c>
    </row>
    <row r="31" spans="1:13" ht="18.75" x14ac:dyDescent="0.3">
      <c r="A31" s="153" t="s">
        <v>832</v>
      </c>
      <c r="B31" s="96"/>
      <c r="C31" s="154">
        <f t="shared" ref="C31:H31" si="11">SUM(C25:C30)</f>
        <v>61</v>
      </c>
      <c r="D31" s="154">
        <f t="shared" si="11"/>
        <v>22</v>
      </c>
      <c r="E31" s="154">
        <f>SUM(E25:E30)</f>
        <v>21</v>
      </c>
      <c r="F31" s="154">
        <f t="shared" si="11"/>
        <v>14</v>
      </c>
      <c r="G31" s="154">
        <f t="shared" si="11"/>
        <v>1</v>
      </c>
      <c r="H31" s="154">
        <f t="shared" si="11"/>
        <v>0</v>
      </c>
      <c r="I31" s="154">
        <f>SUM(I25:I30)</f>
        <v>1</v>
      </c>
      <c r="J31" s="154">
        <f>SUM(J25:J30)</f>
        <v>2</v>
      </c>
      <c r="K31" s="134">
        <f t="shared" si="8"/>
        <v>0.70491803278688525</v>
      </c>
      <c r="L31" s="256">
        <f>SUM(L25:L30)</f>
        <v>58</v>
      </c>
      <c r="M31" s="263">
        <f>L31/C31</f>
        <v>0.95081967213114749</v>
      </c>
    </row>
    <row r="32" spans="1:13" ht="18" thickBot="1" x14ac:dyDescent="0.3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142"/>
    </row>
    <row r="33" spans="1:13" ht="17.25" x14ac:dyDescent="0.3">
      <c r="A33" s="275" t="s">
        <v>765</v>
      </c>
      <c r="B33" s="126" t="s">
        <v>536</v>
      </c>
      <c r="C33" s="126">
        <v>12</v>
      </c>
      <c r="D33" s="126">
        <v>7</v>
      </c>
      <c r="E33" s="126">
        <v>0</v>
      </c>
      <c r="F33" s="126">
        <v>1</v>
      </c>
      <c r="G33" s="126">
        <v>1</v>
      </c>
      <c r="H33" s="126">
        <v>0</v>
      </c>
      <c r="I33" s="127">
        <v>0</v>
      </c>
      <c r="J33" s="127">
        <v>3</v>
      </c>
      <c r="K33" s="143">
        <f t="shared" ref="K33:K40" si="12">(D33+E33)/C33</f>
        <v>0.58333333333333337</v>
      </c>
      <c r="L33" s="252">
        <f>D33+E33+F33+G33+H33</f>
        <v>9</v>
      </c>
      <c r="M33" s="253">
        <f>L33/C33</f>
        <v>0.75</v>
      </c>
    </row>
    <row r="34" spans="1:13" ht="17.25" x14ac:dyDescent="0.3">
      <c r="A34" s="275"/>
      <c r="B34" s="128" t="s">
        <v>540</v>
      </c>
      <c r="C34" s="128">
        <v>22</v>
      </c>
      <c r="D34" s="128">
        <v>12</v>
      </c>
      <c r="E34" s="128">
        <v>5</v>
      </c>
      <c r="F34" s="128">
        <v>3</v>
      </c>
      <c r="G34" s="128">
        <v>1</v>
      </c>
      <c r="H34" s="128">
        <v>0</v>
      </c>
      <c r="I34" s="129">
        <v>0</v>
      </c>
      <c r="J34" s="129">
        <v>1</v>
      </c>
      <c r="K34" s="144">
        <f t="shared" si="12"/>
        <v>0.77272727272727271</v>
      </c>
      <c r="L34" s="252">
        <f t="shared" ref="L34:L39" si="13">D34+E34+F34+G34+H34</f>
        <v>21</v>
      </c>
      <c r="M34" s="253">
        <f t="shared" ref="M34:M39" si="14">L34/C34</f>
        <v>0.95454545454545459</v>
      </c>
    </row>
    <row r="35" spans="1:13" ht="17.25" x14ac:dyDescent="0.3">
      <c r="A35" s="275"/>
      <c r="B35" s="128" t="s">
        <v>556</v>
      </c>
      <c r="C35" s="128">
        <v>17</v>
      </c>
      <c r="D35" s="128">
        <v>12</v>
      </c>
      <c r="E35" s="128">
        <v>0</v>
      </c>
      <c r="F35" s="128">
        <v>2</v>
      </c>
      <c r="G35" s="128">
        <v>0</v>
      </c>
      <c r="H35" s="128">
        <v>0</v>
      </c>
      <c r="I35" s="129">
        <v>3</v>
      </c>
      <c r="J35" s="129">
        <v>0</v>
      </c>
      <c r="K35" s="144">
        <f t="shared" si="12"/>
        <v>0.70588235294117652</v>
      </c>
      <c r="L35" s="252">
        <f t="shared" si="13"/>
        <v>14</v>
      </c>
      <c r="M35" s="253">
        <f t="shared" si="14"/>
        <v>0.82352941176470584</v>
      </c>
    </row>
    <row r="36" spans="1:13" ht="17.25" x14ac:dyDescent="0.3">
      <c r="A36" s="275"/>
      <c r="B36" s="128" t="s">
        <v>757</v>
      </c>
      <c r="C36" s="128">
        <v>13</v>
      </c>
      <c r="D36" s="128">
        <v>6</v>
      </c>
      <c r="E36" s="128">
        <v>3</v>
      </c>
      <c r="F36" s="128">
        <v>4</v>
      </c>
      <c r="G36" s="128">
        <v>0</v>
      </c>
      <c r="H36" s="128">
        <v>0</v>
      </c>
      <c r="I36" s="129">
        <v>0</v>
      </c>
      <c r="J36" s="129">
        <v>0</v>
      </c>
      <c r="K36" s="144">
        <f t="shared" si="12"/>
        <v>0.69230769230769229</v>
      </c>
      <c r="L36" s="252">
        <f t="shared" si="13"/>
        <v>13</v>
      </c>
      <c r="M36" s="253">
        <f t="shared" si="14"/>
        <v>1</v>
      </c>
    </row>
    <row r="37" spans="1:13" ht="17.25" x14ac:dyDescent="0.3">
      <c r="A37" s="275"/>
      <c r="B37" s="128" t="s">
        <v>758</v>
      </c>
      <c r="C37" s="128">
        <v>10</v>
      </c>
      <c r="D37" s="128">
        <v>2</v>
      </c>
      <c r="E37" s="128">
        <v>5</v>
      </c>
      <c r="F37" s="128">
        <v>2</v>
      </c>
      <c r="G37" s="128">
        <v>1</v>
      </c>
      <c r="H37" s="128">
        <v>0</v>
      </c>
      <c r="I37" s="129">
        <v>0</v>
      </c>
      <c r="J37" s="129">
        <v>0</v>
      </c>
      <c r="K37" s="144">
        <f t="shared" si="12"/>
        <v>0.7</v>
      </c>
      <c r="L37" s="252">
        <f t="shared" si="13"/>
        <v>10</v>
      </c>
      <c r="M37" s="253">
        <f t="shared" si="14"/>
        <v>1</v>
      </c>
    </row>
    <row r="38" spans="1:13" ht="17.25" x14ac:dyDescent="0.3">
      <c r="A38" s="275"/>
      <c r="B38" s="128" t="s">
        <v>760</v>
      </c>
      <c r="C38" s="128">
        <v>14</v>
      </c>
      <c r="D38" s="128">
        <v>7</v>
      </c>
      <c r="E38" s="128">
        <v>4</v>
      </c>
      <c r="F38" s="128">
        <v>1</v>
      </c>
      <c r="G38" s="128">
        <v>0</v>
      </c>
      <c r="H38" s="128">
        <v>0</v>
      </c>
      <c r="I38" s="129">
        <v>0</v>
      </c>
      <c r="J38" s="129">
        <v>2</v>
      </c>
      <c r="K38" s="144">
        <f t="shared" si="12"/>
        <v>0.7857142857142857</v>
      </c>
      <c r="L38" s="252">
        <f t="shared" si="13"/>
        <v>12</v>
      </c>
      <c r="M38" s="253">
        <f t="shared" si="14"/>
        <v>0.8571428571428571</v>
      </c>
    </row>
    <row r="39" spans="1:13" ht="18" thickBot="1" x14ac:dyDescent="0.35">
      <c r="A39" s="275"/>
      <c r="B39" s="130" t="s">
        <v>759</v>
      </c>
      <c r="C39" s="130">
        <v>6</v>
      </c>
      <c r="D39" s="130">
        <v>5</v>
      </c>
      <c r="E39" s="130">
        <v>1</v>
      </c>
      <c r="F39" s="130">
        <v>0</v>
      </c>
      <c r="G39" s="130">
        <v>0</v>
      </c>
      <c r="H39" s="130">
        <v>0</v>
      </c>
      <c r="I39" s="131">
        <v>0</v>
      </c>
      <c r="J39" s="131">
        <v>0</v>
      </c>
      <c r="K39" s="145">
        <f t="shared" si="12"/>
        <v>1</v>
      </c>
      <c r="L39" s="252">
        <f t="shared" si="13"/>
        <v>6</v>
      </c>
      <c r="M39" s="253">
        <f t="shared" si="14"/>
        <v>1</v>
      </c>
    </row>
    <row r="40" spans="1:13" ht="18.75" x14ac:dyDescent="0.3">
      <c r="A40" s="153" t="s">
        <v>832</v>
      </c>
      <c r="B40" s="96"/>
      <c r="C40" s="154">
        <f t="shared" ref="C40:H40" si="15">SUM(C33:C39)</f>
        <v>94</v>
      </c>
      <c r="D40" s="154">
        <f t="shared" si="15"/>
        <v>51</v>
      </c>
      <c r="E40" s="154">
        <f t="shared" si="15"/>
        <v>18</v>
      </c>
      <c r="F40" s="154">
        <f t="shared" si="15"/>
        <v>13</v>
      </c>
      <c r="G40" s="154">
        <f t="shared" si="15"/>
        <v>3</v>
      </c>
      <c r="H40" s="154">
        <f t="shared" si="15"/>
        <v>0</v>
      </c>
      <c r="I40" s="154">
        <f>SUM(I33:I39)</f>
        <v>3</v>
      </c>
      <c r="J40" s="154">
        <f>SUM(J33:J39)</f>
        <v>6</v>
      </c>
      <c r="K40" s="134">
        <f t="shared" si="12"/>
        <v>0.73404255319148937</v>
      </c>
      <c r="L40" s="256">
        <f>SUM(L33:L39)</f>
        <v>85</v>
      </c>
      <c r="M40" s="255">
        <f>L40/C40</f>
        <v>0.9042553191489362</v>
      </c>
    </row>
    <row r="41" spans="1:13" ht="15.75" thickBo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9"/>
    </row>
    <row r="42" spans="1:13" ht="21.75" thickBot="1" x14ac:dyDescent="0.4">
      <c r="A42" s="146"/>
      <c r="B42" s="147" t="s">
        <v>830</v>
      </c>
      <c r="C42" s="148"/>
      <c r="D42" s="148"/>
      <c r="E42" s="148"/>
      <c r="F42" s="148"/>
      <c r="G42" s="148"/>
      <c r="H42" s="148"/>
      <c r="I42" s="150"/>
      <c r="J42" s="150"/>
      <c r="K42" s="152"/>
    </row>
    <row r="43" spans="1:13" ht="15.75" thickBot="1" x14ac:dyDescent="0.3">
      <c r="A43" s="157" t="s">
        <v>764</v>
      </c>
      <c r="B43" s="111" t="s">
        <v>502</v>
      </c>
      <c r="C43" s="109">
        <v>19</v>
      </c>
      <c r="D43" s="109">
        <v>13</v>
      </c>
      <c r="E43" s="109">
        <v>0</v>
      </c>
      <c r="F43" s="109">
        <v>0</v>
      </c>
      <c r="G43" s="109">
        <v>4</v>
      </c>
      <c r="H43" s="109">
        <v>0</v>
      </c>
      <c r="I43" s="110">
        <v>1</v>
      </c>
      <c r="J43" s="110">
        <v>1</v>
      </c>
      <c r="K43" s="163">
        <f>(D43+E43)/C43</f>
        <v>0.68421052631578949</v>
      </c>
      <c r="L43" s="256">
        <f>D43+E43+F43+G43+H43</f>
        <v>17</v>
      </c>
      <c r="M43" s="255">
        <f>L43/C43</f>
        <v>0.89473684210526316</v>
      </c>
    </row>
    <row r="44" spans="1:13" ht="18.75" x14ac:dyDescent="0.3">
      <c r="A44" s="153" t="s">
        <v>832</v>
      </c>
      <c r="B44" s="96"/>
      <c r="C44" s="154">
        <f t="shared" ref="C44:H44" si="16">SUM(C42:C43)</f>
        <v>19</v>
      </c>
      <c r="D44" s="154">
        <f t="shared" si="16"/>
        <v>13</v>
      </c>
      <c r="E44" s="154">
        <f t="shared" si="16"/>
        <v>0</v>
      </c>
      <c r="F44" s="154">
        <f t="shared" si="16"/>
        <v>0</v>
      </c>
      <c r="G44" s="154">
        <f t="shared" si="16"/>
        <v>4</v>
      </c>
      <c r="H44" s="154">
        <f t="shared" si="16"/>
        <v>0</v>
      </c>
      <c r="I44" s="154">
        <f>SUM(I43)</f>
        <v>1</v>
      </c>
      <c r="J44" s="154">
        <f>SUM(J43)</f>
        <v>1</v>
      </c>
      <c r="K44" s="134">
        <f>(D44+E44)/C44</f>
        <v>0.68421052631578949</v>
      </c>
    </row>
    <row r="45" spans="1:13" ht="15.75" thickBot="1" x14ac:dyDescent="0.3">
      <c r="A45" s="97"/>
      <c r="B45" s="98"/>
      <c r="C45" s="98"/>
      <c r="D45" s="98"/>
      <c r="E45" s="98"/>
      <c r="F45" s="98"/>
      <c r="G45" s="98"/>
      <c r="H45" s="98"/>
      <c r="I45" s="98"/>
      <c r="J45" s="98"/>
      <c r="K45" s="99"/>
    </row>
    <row r="46" spans="1:13" ht="15.75" thickBot="1" x14ac:dyDescent="0.3">
      <c r="A46" s="169" t="s">
        <v>765</v>
      </c>
      <c r="B46" s="170" t="s">
        <v>629</v>
      </c>
      <c r="C46" s="130">
        <v>17</v>
      </c>
      <c r="D46" s="130">
        <v>14</v>
      </c>
      <c r="E46" s="130">
        <v>0</v>
      </c>
      <c r="F46" s="130">
        <v>0</v>
      </c>
      <c r="G46" s="130">
        <v>0</v>
      </c>
      <c r="H46" s="130">
        <v>1</v>
      </c>
      <c r="I46" s="131">
        <v>0</v>
      </c>
      <c r="J46" s="131">
        <v>2</v>
      </c>
      <c r="K46" s="171">
        <f>(D46+E46)/C46</f>
        <v>0.82352941176470584</v>
      </c>
      <c r="L46" s="256">
        <f>D46+E46+F46+G46+H46</f>
        <v>15</v>
      </c>
      <c r="M46" s="255">
        <f>L46/C47</f>
        <v>0.88235294117647056</v>
      </c>
    </row>
    <row r="47" spans="1:13" ht="18.75" x14ac:dyDescent="0.3">
      <c r="A47" s="153" t="s">
        <v>832</v>
      </c>
      <c r="B47" s="96"/>
      <c r="C47" s="154">
        <f t="shared" ref="C47:H47" si="17">SUM(C46:C46)</f>
        <v>17</v>
      </c>
      <c r="D47" s="154">
        <f t="shared" si="17"/>
        <v>14</v>
      </c>
      <c r="E47" s="154">
        <f t="shared" si="17"/>
        <v>0</v>
      </c>
      <c r="F47" s="154">
        <f t="shared" si="17"/>
        <v>0</v>
      </c>
      <c r="G47" s="154">
        <f t="shared" si="17"/>
        <v>0</v>
      </c>
      <c r="H47" s="154">
        <f t="shared" si="17"/>
        <v>1</v>
      </c>
      <c r="I47" s="154">
        <f>SUM(I46)</f>
        <v>0</v>
      </c>
      <c r="J47" s="154">
        <f>SUM(J46)</f>
        <v>2</v>
      </c>
      <c r="K47" s="134">
        <f>(D47+E47)/C47</f>
        <v>0.82352941176470584</v>
      </c>
    </row>
    <row r="48" spans="1:13" ht="15.75" thickBot="1" x14ac:dyDescent="0.3">
      <c r="A48" s="97"/>
      <c r="B48" s="98"/>
      <c r="C48" s="98"/>
      <c r="D48" s="98"/>
      <c r="E48" s="98"/>
      <c r="F48" s="98"/>
      <c r="G48" s="98"/>
      <c r="H48" s="98"/>
      <c r="I48" s="98"/>
      <c r="J48" s="98"/>
      <c r="K48" s="99"/>
    </row>
    <row r="49" spans="1:13" ht="21.75" thickBot="1" x14ac:dyDescent="0.4">
      <c r="A49" s="146"/>
      <c r="B49" s="147" t="s">
        <v>831</v>
      </c>
      <c r="C49" s="148"/>
      <c r="D49" s="148"/>
      <c r="E49" s="148"/>
      <c r="F49" s="148"/>
      <c r="G49" s="148"/>
      <c r="H49" s="148"/>
      <c r="I49" s="150"/>
      <c r="J49" s="150"/>
      <c r="K49" s="152"/>
    </row>
    <row r="50" spans="1:13" x14ac:dyDescent="0.25">
      <c r="A50" s="271" t="s">
        <v>762</v>
      </c>
      <c r="B50" s="31" t="s">
        <v>742</v>
      </c>
      <c r="C50" s="31">
        <v>2</v>
      </c>
      <c r="D50" s="31">
        <v>2</v>
      </c>
      <c r="E50" s="31">
        <v>0</v>
      </c>
      <c r="F50" s="31">
        <v>0</v>
      </c>
      <c r="G50" s="31">
        <v>0</v>
      </c>
      <c r="H50" s="31">
        <v>0</v>
      </c>
      <c r="I50" s="103">
        <v>0</v>
      </c>
      <c r="J50" s="103">
        <v>0</v>
      </c>
      <c r="K50" s="160">
        <f t="shared" ref="K50:K58" si="18">(D50+E50)/C50</f>
        <v>1</v>
      </c>
      <c r="L50" s="252">
        <f>D50+E50+F50+G50+H50</f>
        <v>2</v>
      </c>
      <c r="M50" s="253">
        <f>L50/C50</f>
        <v>1</v>
      </c>
    </row>
    <row r="51" spans="1:13" x14ac:dyDescent="0.25">
      <c r="A51" s="272"/>
      <c r="B51" s="31" t="s">
        <v>743</v>
      </c>
      <c r="C51" s="31">
        <v>6</v>
      </c>
      <c r="D51" s="31">
        <v>5</v>
      </c>
      <c r="E51" s="31">
        <v>1</v>
      </c>
      <c r="F51" s="31">
        <v>0</v>
      </c>
      <c r="G51" s="31">
        <v>0</v>
      </c>
      <c r="H51" s="31">
        <v>0</v>
      </c>
      <c r="I51" s="103">
        <v>0</v>
      </c>
      <c r="J51" s="103">
        <v>0</v>
      </c>
      <c r="K51" s="161">
        <f t="shared" si="18"/>
        <v>1</v>
      </c>
      <c r="L51" s="252">
        <f t="shared" ref="L51:L57" si="19">D51+E51+F51+G51+H51</f>
        <v>6</v>
      </c>
      <c r="M51" s="253">
        <f t="shared" ref="M51:M57" si="20">L51/C51</f>
        <v>1</v>
      </c>
    </row>
    <row r="52" spans="1:13" x14ac:dyDescent="0.25">
      <c r="A52" s="272"/>
      <c r="B52" s="31" t="s">
        <v>741</v>
      </c>
      <c r="C52" s="31">
        <v>4</v>
      </c>
      <c r="D52" s="31">
        <v>2</v>
      </c>
      <c r="E52" s="31">
        <v>2</v>
      </c>
      <c r="F52" s="31">
        <v>0</v>
      </c>
      <c r="G52" s="31">
        <v>0</v>
      </c>
      <c r="H52" s="31">
        <v>0</v>
      </c>
      <c r="I52" s="103">
        <v>0</v>
      </c>
      <c r="J52" s="103">
        <v>0</v>
      </c>
      <c r="K52" s="161">
        <f t="shared" si="18"/>
        <v>1</v>
      </c>
      <c r="L52" s="252">
        <f t="shared" si="19"/>
        <v>4</v>
      </c>
      <c r="M52" s="253">
        <f t="shared" si="20"/>
        <v>1</v>
      </c>
    </row>
    <row r="53" spans="1:13" x14ac:dyDescent="0.25">
      <c r="A53" s="272"/>
      <c r="B53" s="31" t="s">
        <v>746</v>
      </c>
      <c r="C53" s="31">
        <v>8</v>
      </c>
      <c r="D53" s="31">
        <v>7</v>
      </c>
      <c r="E53" s="31">
        <v>1</v>
      </c>
      <c r="F53" s="31">
        <v>0</v>
      </c>
      <c r="G53" s="31">
        <v>0</v>
      </c>
      <c r="H53" s="31">
        <v>0</v>
      </c>
      <c r="I53" s="103">
        <v>0</v>
      </c>
      <c r="J53" s="103">
        <v>0</v>
      </c>
      <c r="K53" s="161">
        <f t="shared" si="18"/>
        <v>1</v>
      </c>
      <c r="L53" s="252">
        <f t="shared" si="19"/>
        <v>8</v>
      </c>
      <c r="M53" s="253">
        <f t="shared" si="20"/>
        <v>1</v>
      </c>
    </row>
    <row r="54" spans="1:13" x14ac:dyDescent="0.25">
      <c r="A54" s="272"/>
      <c r="B54" s="31" t="s">
        <v>747</v>
      </c>
      <c r="C54" s="31">
        <v>3</v>
      </c>
      <c r="D54" s="31">
        <v>2</v>
      </c>
      <c r="E54" s="31">
        <v>0</v>
      </c>
      <c r="F54" s="31">
        <v>0</v>
      </c>
      <c r="G54" s="31">
        <v>0</v>
      </c>
      <c r="H54" s="31">
        <v>0</v>
      </c>
      <c r="I54" s="103">
        <v>1</v>
      </c>
      <c r="J54" s="103">
        <v>0</v>
      </c>
      <c r="K54" s="161">
        <f t="shared" si="18"/>
        <v>0.66666666666666663</v>
      </c>
      <c r="L54" s="252">
        <f t="shared" si="19"/>
        <v>2</v>
      </c>
      <c r="M54" s="253">
        <f t="shared" si="20"/>
        <v>0.66666666666666663</v>
      </c>
    </row>
    <row r="55" spans="1:13" x14ac:dyDescent="0.25">
      <c r="A55" s="272"/>
      <c r="B55" s="31" t="s">
        <v>744</v>
      </c>
      <c r="C55" s="31">
        <v>7</v>
      </c>
      <c r="D55" s="31">
        <v>7</v>
      </c>
      <c r="E55" s="31">
        <v>0</v>
      </c>
      <c r="F55" s="31">
        <v>0</v>
      </c>
      <c r="G55" s="31">
        <v>0</v>
      </c>
      <c r="H55" s="31">
        <v>0</v>
      </c>
      <c r="I55" s="103">
        <v>0</v>
      </c>
      <c r="J55" s="103">
        <v>0</v>
      </c>
      <c r="K55" s="161">
        <f t="shared" si="18"/>
        <v>1</v>
      </c>
      <c r="L55" s="252">
        <f t="shared" si="19"/>
        <v>7</v>
      </c>
      <c r="M55" s="253">
        <f t="shared" si="20"/>
        <v>1</v>
      </c>
    </row>
    <row r="56" spans="1:13" x14ac:dyDescent="0.25">
      <c r="A56" s="272"/>
      <c r="B56" s="31" t="s">
        <v>745</v>
      </c>
      <c r="C56" s="31">
        <v>14</v>
      </c>
      <c r="D56" s="31">
        <v>8</v>
      </c>
      <c r="E56" s="31">
        <v>3</v>
      </c>
      <c r="F56" s="31">
        <v>0</v>
      </c>
      <c r="G56" s="31">
        <v>0</v>
      </c>
      <c r="H56" s="31">
        <v>0</v>
      </c>
      <c r="I56" s="103">
        <v>2</v>
      </c>
      <c r="J56" s="103">
        <v>1</v>
      </c>
      <c r="K56" s="161">
        <f t="shared" si="18"/>
        <v>0.7857142857142857</v>
      </c>
      <c r="L56" s="252">
        <f t="shared" si="19"/>
        <v>11</v>
      </c>
      <c r="M56" s="253">
        <f t="shared" si="20"/>
        <v>0.7857142857142857</v>
      </c>
    </row>
    <row r="57" spans="1:13" ht="15.75" thickBot="1" x14ac:dyDescent="0.3">
      <c r="A57" s="282"/>
      <c r="B57" s="31" t="s">
        <v>276</v>
      </c>
      <c r="C57" s="31">
        <v>4</v>
      </c>
      <c r="D57" s="31">
        <v>4</v>
      </c>
      <c r="E57" s="31">
        <v>0</v>
      </c>
      <c r="F57" s="31">
        <v>0</v>
      </c>
      <c r="G57" s="31">
        <v>0</v>
      </c>
      <c r="H57" s="31">
        <v>0</v>
      </c>
      <c r="I57" s="103">
        <v>0</v>
      </c>
      <c r="J57" s="103">
        <v>0</v>
      </c>
      <c r="K57" s="162">
        <f t="shared" si="18"/>
        <v>1</v>
      </c>
      <c r="L57" s="252">
        <f t="shared" si="19"/>
        <v>4</v>
      </c>
      <c r="M57" s="253">
        <f t="shared" si="20"/>
        <v>1</v>
      </c>
    </row>
    <row r="58" spans="1:13" ht="18.75" x14ac:dyDescent="0.3">
      <c r="A58" s="153" t="s">
        <v>832</v>
      </c>
      <c r="B58" s="96"/>
      <c r="C58" s="154">
        <f t="shared" ref="C58:H58" si="21">SUM(C50:C57)</f>
        <v>48</v>
      </c>
      <c r="D58" s="154">
        <f>SUM(D50:D57)</f>
        <v>37</v>
      </c>
      <c r="E58" s="154">
        <f t="shared" si="21"/>
        <v>7</v>
      </c>
      <c r="F58" s="154">
        <f t="shared" si="21"/>
        <v>0</v>
      </c>
      <c r="G58" s="154">
        <f t="shared" si="21"/>
        <v>0</v>
      </c>
      <c r="H58" s="154">
        <f t="shared" si="21"/>
        <v>0</v>
      </c>
      <c r="I58" s="154">
        <f>SUM(I50:I57)</f>
        <v>3</v>
      </c>
      <c r="J58" s="154">
        <f>SUM(J50:J57)</f>
        <v>1</v>
      </c>
      <c r="K58" s="134">
        <f t="shared" si="18"/>
        <v>0.91666666666666663</v>
      </c>
      <c r="L58" s="256">
        <f>SUM(L50:L57)</f>
        <v>44</v>
      </c>
      <c r="M58" s="255">
        <f>L58/C58</f>
        <v>0.91666666666666663</v>
      </c>
    </row>
    <row r="59" spans="1:13" ht="15.75" thickBot="1" x14ac:dyDescent="0.3">
      <c r="A59" s="97"/>
      <c r="B59" s="98"/>
      <c r="C59" s="98"/>
      <c r="D59" s="98"/>
      <c r="E59" s="98"/>
      <c r="F59" s="98"/>
      <c r="G59" s="98"/>
      <c r="H59" s="98"/>
      <c r="I59" s="98"/>
      <c r="J59" s="98"/>
      <c r="K59" s="99"/>
    </row>
    <row r="60" spans="1:13" ht="15.75" thickBot="1" x14ac:dyDescent="0.3">
      <c r="A60" s="157" t="s">
        <v>764</v>
      </c>
      <c r="B60" s="109" t="s">
        <v>523</v>
      </c>
      <c r="C60" s="109">
        <v>7</v>
      </c>
      <c r="D60" s="109">
        <v>6</v>
      </c>
      <c r="E60" s="109">
        <v>1</v>
      </c>
      <c r="F60" s="109">
        <v>0</v>
      </c>
      <c r="G60" s="109">
        <v>0</v>
      </c>
      <c r="H60" s="109">
        <v>0</v>
      </c>
      <c r="I60" s="110">
        <v>0</v>
      </c>
      <c r="J60" s="110">
        <v>0</v>
      </c>
      <c r="K60" s="163">
        <f>(D60+E60)/C60</f>
        <v>1</v>
      </c>
    </row>
    <row r="61" spans="1:13" ht="18.75" x14ac:dyDescent="0.3">
      <c r="A61" s="153" t="s">
        <v>832</v>
      </c>
      <c r="B61" s="96"/>
      <c r="C61" s="154">
        <f t="shared" ref="C61:H61" si="22">SUM(C59:C60)</f>
        <v>7</v>
      </c>
      <c r="D61" s="154">
        <f t="shared" si="22"/>
        <v>6</v>
      </c>
      <c r="E61" s="154">
        <f t="shared" si="22"/>
        <v>1</v>
      </c>
      <c r="F61" s="154">
        <f t="shared" si="22"/>
        <v>0</v>
      </c>
      <c r="G61" s="154">
        <f t="shared" si="22"/>
        <v>0</v>
      </c>
      <c r="H61" s="154">
        <f t="shared" si="22"/>
        <v>0</v>
      </c>
      <c r="I61" s="154">
        <f>SUM(I60)</f>
        <v>0</v>
      </c>
      <c r="J61" s="154">
        <f>SUM(J60)</f>
        <v>0</v>
      </c>
      <c r="K61" s="134">
        <f>(D61+E61)/C61</f>
        <v>1</v>
      </c>
      <c r="L61" s="256">
        <f>D60+E60+F60+G60+H60</f>
        <v>7</v>
      </c>
      <c r="M61" s="255">
        <f>L61/C61</f>
        <v>1</v>
      </c>
    </row>
    <row r="62" spans="1:13" ht="15.75" thickBot="1" x14ac:dyDescent="0.3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9"/>
    </row>
    <row r="63" spans="1:13" x14ac:dyDescent="0.25">
      <c r="A63" s="283" t="s">
        <v>763</v>
      </c>
      <c r="B63" s="158" t="s">
        <v>751</v>
      </c>
      <c r="C63" s="94">
        <v>9</v>
      </c>
      <c r="D63" s="94">
        <v>9</v>
      </c>
      <c r="E63" s="94">
        <v>0</v>
      </c>
      <c r="F63" s="94">
        <v>0</v>
      </c>
      <c r="G63" s="94">
        <v>0</v>
      </c>
      <c r="H63" s="94">
        <v>0</v>
      </c>
      <c r="I63" s="92">
        <v>0</v>
      </c>
      <c r="J63" s="92">
        <v>0</v>
      </c>
      <c r="K63" s="164">
        <f t="shared" ref="K63:K69" si="23">(D63+E63)/C63</f>
        <v>1</v>
      </c>
      <c r="L63" s="252">
        <f>D63+E63+F63+G63+H63</f>
        <v>9</v>
      </c>
      <c r="M63" s="253">
        <f>L63/C63</f>
        <v>1</v>
      </c>
    </row>
    <row r="64" spans="1:13" x14ac:dyDescent="0.25">
      <c r="A64" s="284"/>
      <c r="B64" s="95" t="s">
        <v>750</v>
      </c>
      <c r="C64" s="94">
        <v>10</v>
      </c>
      <c r="D64" s="94">
        <v>9</v>
      </c>
      <c r="E64" s="94">
        <v>1</v>
      </c>
      <c r="F64" s="94">
        <v>0</v>
      </c>
      <c r="G64" s="94">
        <v>0</v>
      </c>
      <c r="H64" s="94">
        <v>0</v>
      </c>
      <c r="I64" s="92">
        <v>0</v>
      </c>
      <c r="J64" s="92">
        <v>0</v>
      </c>
      <c r="K64" s="165">
        <f t="shared" si="23"/>
        <v>1</v>
      </c>
      <c r="L64" s="252">
        <f t="shared" ref="L64:L68" si="24">D64+E64+F64+G64+H64</f>
        <v>10</v>
      </c>
      <c r="M64" s="253">
        <f>L64/C64</f>
        <v>1</v>
      </c>
    </row>
    <row r="65" spans="1:13" x14ac:dyDescent="0.25">
      <c r="A65" s="284"/>
      <c r="B65" s="94" t="s">
        <v>755</v>
      </c>
      <c r="C65" s="94">
        <v>3</v>
      </c>
      <c r="D65" s="94">
        <v>2</v>
      </c>
      <c r="E65" s="94">
        <v>0</v>
      </c>
      <c r="F65" s="94">
        <v>0</v>
      </c>
      <c r="G65" s="94">
        <v>1</v>
      </c>
      <c r="H65" s="94">
        <v>0</v>
      </c>
      <c r="I65" s="92">
        <v>0</v>
      </c>
      <c r="J65" s="92">
        <v>0</v>
      </c>
      <c r="K65" s="165">
        <f t="shared" si="23"/>
        <v>0.66666666666666663</v>
      </c>
      <c r="L65" s="252">
        <f t="shared" si="24"/>
        <v>3</v>
      </c>
      <c r="M65" s="253">
        <f t="shared" ref="M65:M68" si="25">L65/C65</f>
        <v>1</v>
      </c>
    </row>
    <row r="66" spans="1:13" x14ac:dyDescent="0.25">
      <c r="A66" s="284"/>
      <c r="B66" s="159" t="s">
        <v>756</v>
      </c>
      <c r="C66" s="94">
        <v>5</v>
      </c>
      <c r="D66" s="94">
        <v>5</v>
      </c>
      <c r="E66" s="94">
        <v>0</v>
      </c>
      <c r="F66" s="94">
        <v>0</v>
      </c>
      <c r="G66" s="94">
        <v>0</v>
      </c>
      <c r="H66" s="94">
        <v>0</v>
      </c>
      <c r="I66" s="92">
        <v>0</v>
      </c>
      <c r="J66" s="92">
        <v>0</v>
      </c>
      <c r="K66" s="165">
        <f t="shared" si="23"/>
        <v>1</v>
      </c>
      <c r="L66" s="252">
        <f t="shared" si="24"/>
        <v>5</v>
      </c>
      <c r="M66" s="253">
        <f t="shared" si="25"/>
        <v>1</v>
      </c>
    </row>
    <row r="67" spans="1:13" x14ac:dyDescent="0.25">
      <c r="A67" s="284"/>
      <c r="B67" s="94" t="s">
        <v>748</v>
      </c>
      <c r="C67" s="94">
        <v>5</v>
      </c>
      <c r="D67" s="94">
        <v>3</v>
      </c>
      <c r="E67" s="94">
        <v>1</v>
      </c>
      <c r="F67" s="94">
        <v>1</v>
      </c>
      <c r="G67" s="94">
        <v>0</v>
      </c>
      <c r="H67" s="94">
        <v>0</v>
      </c>
      <c r="I67" s="92">
        <v>0</v>
      </c>
      <c r="J67" s="92">
        <v>0</v>
      </c>
      <c r="K67" s="165">
        <f t="shared" si="23"/>
        <v>0.8</v>
      </c>
      <c r="L67" s="252">
        <f t="shared" si="24"/>
        <v>5</v>
      </c>
      <c r="M67" s="253">
        <f t="shared" si="25"/>
        <v>1</v>
      </c>
    </row>
    <row r="68" spans="1:13" ht="15.75" thickBot="1" x14ac:dyDescent="0.3">
      <c r="A68" s="285"/>
      <c r="B68" s="159" t="s">
        <v>749</v>
      </c>
      <c r="C68" s="94">
        <v>4</v>
      </c>
      <c r="D68" s="94">
        <v>3</v>
      </c>
      <c r="E68" s="94">
        <v>1</v>
      </c>
      <c r="F68" s="94">
        <v>0</v>
      </c>
      <c r="G68" s="94">
        <v>0</v>
      </c>
      <c r="H68" s="94">
        <v>0</v>
      </c>
      <c r="I68" s="92">
        <v>0</v>
      </c>
      <c r="J68" s="92">
        <v>0</v>
      </c>
      <c r="K68" s="166">
        <f t="shared" si="23"/>
        <v>1</v>
      </c>
      <c r="L68" s="252">
        <f t="shared" si="24"/>
        <v>4</v>
      </c>
      <c r="M68" s="253">
        <f t="shared" si="25"/>
        <v>1</v>
      </c>
    </row>
    <row r="69" spans="1:13" ht="18.75" x14ac:dyDescent="0.3">
      <c r="A69" s="153" t="s">
        <v>832</v>
      </c>
      <c r="B69" s="96"/>
      <c r="C69" s="154">
        <f t="shared" ref="C69:H69" si="26">SUM(C63:C68)</f>
        <v>36</v>
      </c>
      <c r="D69" s="154">
        <f>SUM(D63:D68)</f>
        <v>31</v>
      </c>
      <c r="E69" s="154">
        <f t="shared" si="26"/>
        <v>3</v>
      </c>
      <c r="F69" s="154">
        <f t="shared" si="26"/>
        <v>1</v>
      </c>
      <c r="G69" s="154">
        <f t="shared" si="26"/>
        <v>1</v>
      </c>
      <c r="H69" s="154">
        <f t="shared" si="26"/>
        <v>0</v>
      </c>
      <c r="I69" s="154">
        <f>SUM(I63:I68)</f>
        <v>0</v>
      </c>
      <c r="J69" s="154">
        <f>SUM(J63:J68)</f>
        <v>0</v>
      </c>
      <c r="K69" s="134">
        <f t="shared" si="23"/>
        <v>0.94444444444444442</v>
      </c>
      <c r="L69" s="256">
        <f>SUM(L63:L68)</f>
        <v>36</v>
      </c>
      <c r="M69" s="255">
        <f>L69/C69</f>
        <v>1</v>
      </c>
    </row>
    <row r="70" spans="1:13" ht="15.75" thickBot="1" x14ac:dyDescent="0.3">
      <c r="A70" s="97"/>
      <c r="B70" s="98"/>
      <c r="C70" s="98"/>
      <c r="D70" s="98"/>
      <c r="E70" s="98"/>
      <c r="F70" s="98"/>
      <c r="G70" s="98"/>
      <c r="H70" s="98"/>
      <c r="I70" s="98"/>
      <c r="J70" s="98"/>
      <c r="K70" s="99"/>
    </row>
    <row r="71" spans="1:13" ht="15.75" thickBot="1" x14ac:dyDescent="0.3">
      <c r="A71" s="167" t="s">
        <v>765</v>
      </c>
      <c r="B71" s="128" t="s">
        <v>654</v>
      </c>
      <c r="C71" s="128">
        <v>12</v>
      </c>
      <c r="D71" s="128">
        <v>8</v>
      </c>
      <c r="E71" s="128">
        <v>1</v>
      </c>
      <c r="F71" s="128">
        <v>1</v>
      </c>
      <c r="G71" s="128">
        <v>1</v>
      </c>
      <c r="H71" s="128">
        <v>1</v>
      </c>
      <c r="I71" s="129">
        <v>0</v>
      </c>
      <c r="J71" s="129">
        <v>0</v>
      </c>
      <c r="K71" s="168">
        <f>(D71+E71)/C71</f>
        <v>0.75</v>
      </c>
    </row>
    <row r="72" spans="1:13" ht="18.75" x14ac:dyDescent="0.3">
      <c r="A72" s="153" t="s">
        <v>832</v>
      </c>
      <c r="B72" s="96"/>
      <c r="C72" s="154">
        <f t="shared" ref="C72:H72" si="27">SUM(C71)</f>
        <v>12</v>
      </c>
      <c r="D72" s="154">
        <f t="shared" si="27"/>
        <v>8</v>
      </c>
      <c r="E72" s="154">
        <f t="shared" si="27"/>
        <v>1</v>
      </c>
      <c r="F72" s="154">
        <f t="shared" si="27"/>
        <v>1</v>
      </c>
      <c r="G72" s="154">
        <f t="shared" si="27"/>
        <v>1</v>
      </c>
      <c r="H72" s="154">
        <f t="shared" si="27"/>
        <v>1</v>
      </c>
      <c r="I72" s="154">
        <v>0</v>
      </c>
      <c r="J72" s="154">
        <v>0</v>
      </c>
      <c r="K72" s="134">
        <f>(D72+E72)/C72</f>
        <v>0.75</v>
      </c>
      <c r="L72" s="256">
        <f>D71+E71+F71+G71+H71</f>
        <v>12</v>
      </c>
      <c r="M72" s="255">
        <f>L72/C72</f>
        <v>1</v>
      </c>
    </row>
    <row r="73" spans="1:13" ht="15.75" thickBot="1" x14ac:dyDescent="0.3">
      <c r="A73" s="97"/>
      <c r="B73" s="98"/>
      <c r="C73" s="98"/>
      <c r="D73" s="98"/>
      <c r="E73" s="98"/>
      <c r="F73" s="98"/>
      <c r="G73" s="98"/>
      <c r="H73" s="98"/>
      <c r="I73" s="98"/>
      <c r="J73" s="98"/>
      <c r="K73" s="99"/>
    </row>
    <row r="74" spans="1:13" x14ac:dyDescent="0.25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6"/>
    </row>
    <row r="75" spans="1:13" ht="15.75" thickBot="1" x14ac:dyDescent="0.3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6"/>
    </row>
    <row r="76" spans="1:13" ht="27" thickBot="1" x14ac:dyDescent="0.3">
      <c r="A76" s="279" t="s">
        <v>833</v>
      </c>
      <c r="B76" s="280"/>
      <c r="C76" s="280"/>
      <c r="D76" s="280"/>
      <c r="E76" s="280"/>
      <c r="F76" s="280"/>
      <c r="G76" s="280"/>
      <c r="H76" s="280"/>
      <c r="I76" s="280"/>
      <c r="J76" s="280"/>
      <c r="K76" s="281"/>
    </row>
    <row r="77" spans="1:13" ht="81.75" customHeight="1" thickBot="1" x14ac:dyDescent="0.3">
      <c r="A77" s="286" t="s">
        <v>2</v>
      </c>
      <c r="B77" s="287"/>
      <c r="C77" s="257" t="s">
        <v>824</v>
      </c>
      <c r="D77" s="257" t="s">
        <v>823</v>
      </c>
      <c r="E77" s="257" t="s">
        <v>834</v>
      </c>
      <c r="F77" s="257" t="s">
        <v>835</v>
      </c>
      <c r="G77" s="257" t="s">
        <v>122</v>
      </c>
      <c r="H77" s="257" t="s">
        <v>412</v>
      </c>
      <c r="I77" s="258" t="s">
        <v>846</v>
      </c>
      <c r="J77" s="258" t="s">
        <v>826</v>
      </c>
      <c r="K77" s="259" t="s">
        <v>838</v>
      </c>
      <c r="L77" s="260" t="s">
        <v>860</v>
      </c>
      <c r="M77" s="260" t="s">
        <v>861</v>
      </c>
    </row>
    <row r="78" spans="1:13" ht="21" x14ac:dyDescent="0.35">
      <c r="A78" s="213" t="s">
        <v>13</v>
      </c>
      <c r="B78" s="224"/>
      <c r="C78" s="225">
        <f t="shared" ref="C78:H78" si="28">C16+C23+C31+C40</f>
        <v>418</v>
      </c>
      <c r="D78" s="216">
        <f>D16+D23+D31+D40</f>
        <v>147</v>
      </c>
      <c r="E78" s="216">
        <f>E16+E23+E31+E40</f>
        <v>112</v>
      </c>
      <c r="F78" s="216">
        <f>F16+F23+F31+F40</f>
        <v>105</v>
      </c>
      <c r="G78" s="216">
        <f>G16+G23+G31+G40</f>
        <v>9</v>
      </c>
      <c r="H78" s="216">
        <f t="shared" si="28"/>
        <v>0</v>
      </c>
      <c r="I78" s="216">
        <f>I16+I23+I31+I40</f>
        <v>29</v>
      </c>
      <c r="J78" s="216">
        <f>SUM(J16,J23,J31,J40)</f>
        <v>16</v>
      </c>
      <c r="K78" s="221">
        <f>(E78+D78)/C78</f>
        <v>0.61961722488038273</v>
      </c>
      <c r="L78" s="252">
        <f>D78+E78+F78+G78+H78</f>
        <v>373</v>
      </c>
      <c r="M78" s="253">
        <f>L78/C78</f>
        <v>0.89234449760765555</v>
      </c>
    </row>
    <row r="79" spans="1:13" ht="21" x14ac:dyDescent="0.35">
      <c r="A79" s="214" t="s">
        <v>127</v>
      </c>
      <c r="B79" s="211"/>
      <c r="C79" s="226">
        <f t="shared" ref="C79:H79" si="29">C44+C47</f>
        <v>36</v>
      </c>
      <c r="D79" s="217">
        <f>D44+D47</f>
        <v>27</v>
      </c>
      <c r="E79" s="217">
        <f>E44+E47</f>
        <v>0</v>
      </c>
      <c r="F79" s="217">
        <f>F44+F47</f>
        <v>0</v>
      </c>
      <c r="G79" s="217">
        <f>G44+G47</f>
        <v>4</v>
      </c>
      <c r="H79" s="217">
        <f t="shared" si="29"/>
        <v>1</v>
      </c>
      <c r="I79" s="217">
        <f>I44+I47</f>
        <v>1</v>
      </c>
      <c r="J79" s="217">
        <f>J44+J47</f>
        <v>3</v>
      </c>
      <c r="K79" s="222">
        <f>(D79+E79)/C79</f>
        <v>0.75</v>
      </c>
      <c r="L79" s="264">
        <f>D79+E79+F79+G79+H79</f>
        <v>32</v>
      </c>
      <c r="M79" s="253">
        <f>L79/C79</f>
        <v>0.88888888888888884</v>
      </c>
    </row>
    <row r="80" spans="1:13" ht="21.75" thickBot="1" x14ac:dyDescent="0.4">
      <c r="A80" s="215" t="s">
        <v>177</v>
      </c>
      <c r="B80" s="227"/>
      <c r="C80" s="228">
        <f t="shared" ref="C80:H80" si="30">C58+C61+C69+C72</f>
        <v>103</v>
      </c>
      <c r="D80" s="218">
        <f>D58+D61+D69+D72</f>
        <v>82</v>
      </c>
      <c r="E80" s="218">
        <f>E72+E69+E61+E58</f>
        <v>12</v>
      </c>
      <c r="F80" s="218">
        <f>F58+F61+F69+F72</f>
        <v>2</v>
      </c>
      <c r="G80" s="218">
        <f>G58+G61+G69+G72</f>
        <v>2</v>
      </c>
      <c r="H80" s="218">
        <f t="shared" si="30"/>
        <v>1</v>
      </c>
      <c r="I80" s="218">
        <f>I58+I61+I69+I72</f>
        <v>3</v>
      </c>
      <c r="J80" s="218">
        <f>J58+J61+J69+J72</f>
        <v>1</v>
      </c>
      <c r="K80" s="223">
        <f>(D80+E80)/C80</f>
        <v>0.91262135922330101</v>
      </c>
      <c r="L80" s="252">
        <f>D80+E80+F80+G80+H80</f>
        <v>99</v>
      </c>
      <c r="M80" s="253">
        <f>L80/C80</f>
        <v>0.96116504854368934</v>
      </c>
    </row>
    <row r="81" spans="1:13" ht="21" x14ac:dyDescent="0.35">
      <c r="A81" s="229" t="s">
        <v>836</v>
      </c>
      <c r="B81" s="230"/>
      <c r="C81" s="231">
        <f t="shared" ref="C81:J81" si="31">C78+C79+C80</f>
        <v>557</v>
      </c>
      <c r="D81" s="232">
        <f t="shared" si="31"/>
        <v>256</v>
      </c>
      <c r="E81" s="230">
        <f t="shared" si="31"/>
        <v>124</v>
      </c>
      <c r="F81" s="232">
        <f t="shared" si="31"/>
        <v>107</v>
      </c>
      <c r="G81" s="232">
        <f t="shared" si="31"/>
        <v>15</v>
      </c>
      <c r="H81" s="230">
        <f t="shared" si="31"/>
        <v>2</v>
      </c>
      <c r="I81" s="232">
        <f>SUM(I78:I80)</f>
        <v>33</v>
      </c>
      <c r="J81" s="232">
        <f t="shared" si="31"/>
        <v>20</v>
      </c>
      <c r="K81" s="233">
        <f>(D81+E81)/C81</f>
        <v>0.68222621184919208</v>
      </c>
      <c r="L81" s="256">
        <f>SUM(L78:L80)</f>
        <v>504</v>
      </c>
      <c r="M81" s="255">
        <f>L81/C81</f>
        <v>0.9048473967684022</v>
      </c>
    </row>
    <row r="82" spans="1:13" ht="21.75" thickBot="1" x14ac:dyDescent="0.4">
      <c r="A82" s="234"/>
      <c r="B82" s="235"/>
      <c r="C82" s="236"/>
      <c r="D82" s="237"/>
      <c r="E82" s="238"/>
      <c r="F82" s="237"/>
      <c r="G82" s="237"/>
      <c r="H82" s="238"/>
      <c r="I82" s="237"/>
      <c r="J82" s="237"/>
      <c r="K82" s="236"/>
    </row>
    <row r="84" spans="1:13" ht="15.75" thickBot="1" x14ac:dyDescent="0.3"/>
    <row r="85" spans="1:13" ht="27" thickBot="1" x14ac:dyDescent="0.3">
      <c r="A85" s="279" t="s">
        <v>837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1"/>
    </row>
    <row r="86" spans="1:13" ht="70.5" thickBot="1" x14ac:dyDescent="0.3">
      <c r="A86" s="286" t="s">
        <v>862</v>
      </c>
      <c r="B86" s="287"/>
      <c r="C86" s="257" t="s">
        <v>824</v>
      </c>
      <c r="D86" s="257" t="s">
        <v>823</v>
      </c>
      <c r="E86" s="257" t="s">
        <v>834</v>
      </c>
      <c r="F86" s="257" t="s">
        <v>835</v>
      </c>
      <c r="G86" s="257" t="s">
        <v>122</v>
      </c>
      <c r="H86" s="257" t="s">
        <v>412</v>
      </c>
      <c r="I86" s="258" t="s">
        <v>846</v>
      </c>
      <c r="J86" s="258" t="s">
        <v>826</v>
      </c>
      <c r="K86" s="259" t="s">
        <v>838</v>
      </c>
      <c r="L86" s="260" t="s">
        <v>860</v>
      </c>
      <c r="M86" s="260" t="s">
        <v>861</v>
      </c>
    </row>
    <row r="87" spans="1:13" ht="21" x14ac:dyDescent="0.35">
      <c r="A87" s="214" t="s">
        <v>762</v>
      </c>
      <c r="B87" s="211"/>
      <c r="C87" s="212">
        <f t="shared" ref="C87:J87" si="32">C16+C58</f>
        <v>268</v>
      </c>
      <c r="D87" s="217">
        <f t="shared" si="32"/>
        <v>101</v>
      </c>
      <c r="E87" s="219">
        <f t="shared" si="32"/>
        <v>63</v>
      </c>
      <c r="F87" s="217">
        <f t="shared" si="32"/>
        <v>64</v>
      </c>
      <c r="G87" s="217">
        <f t="shared" si="32"/>
        <v>5</v>
      </c>
      <c r="H87" s="217">
        <f t="shared" si="32"/>
        <v>0</v>
      </c>
      <c r="I87" s="217">
        <f>I16+I58</f>
        <v>27</v>
      </c>
      <c r="J87" s="217">
        <f t="shared" si="32"/>
        <v>8</v>
      </c>
      <c r="K87" s="222">
        <f>(D87+E87)/C87</f>
        <v>0.61194029850746268</v>
      </c>
      <c r="L87" s="252">
        <f>D87+E87+F87+G87+H87</f>
        <v>233</v>
      </c>
      <c r="M87" s="253">
        <f>L87/C87</f>
        <v>0.86940298507462688</v>
      </c>
    </row>
    <row r="88" spans="1:13" ht="21" x14ac:dyDescent="0.35">
      <c r="A88" s="214" t="s">
        <v>764</v>
      </c>
      <c r="B88" s="211"/>
      <c r="C88" s="212">
        <f t="shared" ref="C88:J88" si="33">C23+C44+C61</f>
        <v>69</v>
      </c>
      <c r="D88" s="217">
        <f t="shared" si="33"/>
        <v>29</v>
      </c>
      <c r="E88" s="219">
        <f t="shared" si="33"/>
        <v>18</v>
      </c>
      <c r="F88" s="217">
        <f t="shared" si="33"/>
        <v>14</v>
      </c>
      <c r="G88" s="217">
        <f t="shared" si="33"/>
        <v>4</v>
      </c>
      <c r="H88" s="217">
        <f t="shared" si="33"/>
        <v>0</v>
      </c>
      <c r="I88" s="217">
        <f>I23+I44+I61</f>
        <v>2</v>
      </c>
      <c r="J88" s="217">
        <f t="shared" si="33"/>
        <v>2</v>
      </c>
      <c r="K88" s="222">
        <f>(D88+E88)/C88</f>
        <v>0.6811594202898551</v>
      </c>
      <c r="L88" s="252">
        <f>D88+E88+F88+G88+H88</f>
        <v>65</v>
      </c>
      <c r="M88" s="253">
        <f t="shared" ref="M88:M91" si="34">L88/C88</f>
        <v>0.94202898550724634</v>
      </c>
    </row>
    <row r="89" spans="1:13" ht="21" x14ac:dyDescent="0.35">
      <c r="A89" s="214" t="s">
        <v>763</v>
      </c>
      <c r="B89" s="211"/>
      <c r="C89" s="212">
        <f t="shared" ref="C89:J89" si="35">C31+C69</f>
        <v>97</v>
      </c>
      <c r="D89" s="217">
        <f t="shared" si="35"/>
        <v>53</v>
      </c>
      <c r="E89" s="219">
        <f t="shared" si="35"/>
        <v>24</v>
      </c>
      <c r="F89" s="217">
        <f t="shared" si="35"/>
        <v>15</v>
      </c>
      <c r="G89" s="217">
        <f t="shared" si="35"/>
        <v>2</v>
      </c>
      <c r="H89" s="217">
        <f t="shared" si="35"/>
        <v>0</v>
      </c>
      <c r="I89" s="217">
        <f>I31+I69</f>
        <v>1</v>
      </c>
      <c r="J89" s="217">
        <f t="shared" si="35"/>
        <v>2</v>
      </c>
      <c r="K89" s="222">
        <f>(D89+E89)/C89</f>
        <v>0.79381443298969068</v>
      </c>
      <c r="L89" s="265">
        <f t="shared" ref="L89:L90" si="36">D89+E89+F89+G89+H89</f>
        <v>94</v>
      </c>
      <c r="M89" s="266">
        <f t="shared" si="34"/>
        <v>0.96907216494845361</v>
      </c>
    </row>
    <row r="90" spans="1:13" ht="21.75" thickBot="1" x14ac:dyDescent="0.4">
      <c r="A90" s="214" t="s">
        <v>765</v>
      </c>
      <c r="B90" s="211"/>
      <c r="C90" s="212">
        <f t="shared" ref="C90:J90" si="37">C40+C47+C72</f>
        <v>123</v>
      </c>
      <c r="D90" s="218">
        <f t="shared" si="37"/>
        <v>73</v>
      </c>
      <c r="E90" s="220">
        <f t="shared" si="37"/>
        <v>19</v>
      </c>
      <c r="F90" s="218">
        <f t="shared" si="37"/>
        <v>14</v>
      </c>
      <c r="G90" s="218">
        <f t="shared" si="37"/>
        <v>4</v>
      </c>
      <c r="H90" s="218">
        <f t="shared" si="37"/>
        <v>2</v>
      </c>
      <c r="I90" s="218">
        <f>I72+I47+I40</f>
        <v>3</v>
      </c>
      <c r="J90" s="218">
        <f t="shared" si="37"/>
        <v>8</v>
      </c>
      <c r="K90" s="223">
        <f>(D90+E90)/C90</f>
        <v>0.74796747967479671</v>
      </c>
      <c r="L90" s="267">
        <f t="shared" si="36"/>
        <v>112</v>
      </c>
      <c r="M90" s="268">
        <f t="shared" si="34"/>
        <v>0.91056910569105687</v>
      </c>
    </row>
    <row r="91" spans="1:13" ht="21" x14ac:dyDescent="0.35">
      <c r="A91" s="241" t="s">
        <v>836</v>
      </c>
      <c r="B91" s="242"/>
      <c r="C91" s="243">
        <f>SUM(C87:C90)</f>
        <v>557</v>
      </c>
      <c r="D91" s="232">
        <f>SUM(D87:D90)</f>
        <v>256</v>
      </c>
      <c r="E91" s="232">
        <f>SUM(E87:E90)</f>
        <v>124</v>
      </c>
      <c r="F91" s="232">
        <f>SUM(F87:F90)</f>
        <v>107</v>
      </c>
      <c r="G91" s="232">
        <f>SUM(G87:G90)</f>
        <v>15</v>
      </c>
      <c r="H91" s="232">
        <f t="shared" ref="H91:J91" si="38">SUM(H87:H90)</f>
        <v>2</v>
      </c>
      <c r="I91" s="232">
        <f>SUM(I87:I90)</f>
        <v>33</v>
      </c>
      <c r="J91" s="232">
        <f t="shared" si="38"/>
        <v>20</v>
      </c>
      <c r="K91" s="244">
        <f>(D91+E91)/C91</f>
        <v>0.68222621184919208</v>
      </c>
      <c r="L91" s="269">
        <f>SUM(L87:L90)</f>
        <v>504</v>
      </c>
      <c r="M91" s="270">
        <f t="shared" si="34"/>
        <v>0.9048473967684022</v>
      </c>
    </row>
    <row r="92" spans="1:13" ht="21.75" thickBot="1" x14ac:dyDescent="0.4">
      <c r="A92" s="234"/>
      <c r="B92" s="235"/>
      <c r="C92" s="236"/>
      <c r="D92" s="237"/>
      <c r="E92" s="237"/>
      <c r="F92" s="237"/>
      <c r="G92" s="237"/>
      <c r="H92" s="237"/>
      <c r="I92" s="237"/>
      <c r="J92" s="237"/>
      <c r="K92" s="237"/>
    </row>
    <row r="94" spans="1:13" ht="15.75" thickBot="1" x14ac:dyDescent="0.3"/>
    <row r="95" spans="1:13" ht="26.25" x14ac:dyDescent="0.25">
      <c r="A95" s="276" t="s">
        <v>832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8"/>
    </row>
    <row r="96" spans="1:13" ht="21.75" thickBot="1" x14ac:dyDescent="0.4">
      <c r="A96" s="234"/>
      <c r="B96" s="235"/>
      <c r="C96" s="239">
        <v>557</v>
      </c>
      <c r="D96" s="239">
        <v>256</v>
      </c>
      <c r="E96" s="239">
        <v>124</v>
      </c>
      <c r="F96" s="239">
        <v>107</v>
      </c>
      <c r="G96" s="239">
        <v>15</v>
      </c>
      <c r="H96" s="239">
        <v>2</v>
      </c>
      <c r="I96" s="239">
        <v>33</v>
      </c>
      <c r="J96" s="239">
        <v>20</v>
      </c>
      <c r="K96" s="240">
        <v>0.68</v>
      </c>
      <c r="L96" s="256">
        <f>D96+E96+F96+G96+H96</f>
        <v>504</v>
      </c>
      <c r="M96" s="255">
        <f>L96/C96</f>
        <v>0.9048473967684022</v>
      </c>
    </row>
    <row r="101" spans="7:9" x14ac:dyDescent="0.25">
      <c r="I101" s="249"/>
    </row>
    <row r="102" spans="7:9" x14ac:dyDescent="0.25">
      <c r="G102" s="249"/>
    </row>
    <row r="105" spans="7:9" x14ac:dyDescent="0.25">
      <c r="I105" s="249"/>
    </row>
    <row r="108" spans="7:9" x14ac:dyDescent="0.25">
      <c r="H108" s="249"/>
    </row>
    <row r="114" spans="5:5" x14ac:dyDescent="0.25">
      <c r="E114" s="249"/>
    </row>
  </sheetData>
  <mergeCells count="11">
    <mergeCell ref="A3:A15"/>
    <mergeCell ref="A18:A22"/>
    <mergeCell ref="A25:A30"/>
    <mergeCell ref="A33:A39"/>
    <mergeCell ref="A95:K95"/>
    <mergeCell ref="A76:K76"/>
    <mergeCell ref="A85:K85"/>
    <mergeCell ref="A50:A57"/>
    <mergeCell ref="A63:A68"/>
    <mergeCell ref="A77:B77"/>
    <mergeCell ref="A86:B8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2B23-ECED-40CC-A0A3-4AF5FF019816}">
  <dimension ref="A1:T12"/>
  <sheetViews>
    <sheetView topLeftCell="D1" workbookViewId="0">
      <selection activeCell="F19" sqref="F19"/>
    </sheetView>
  </sheetViews>
  <sheetFormatPr defaultColWidth="9.140625" defaultRowHeight="15" x14ac:dyDescent="0.25"/>
  <cols>
    <col min="1" max="1" width="9.140625" style="81"/>
    <col min="2" max="2" width="61.28515625" style="81" customWidth="1"/>
    <col min="3" max="3" width="23.85546875" style="81" customWidth="1"/>
    <col min="4" max="4" width="25" style="81" customWidth="1"/>
    <col min="5" max="5" width="9.140625" style="81"/>
    <col min="6" max="6" width="45.140625" style="81" customWidth="1"/>
    <col min="7" max="7" width="10.7109375" style="81" customWidth="1"/>
    <col min="8" max="8" width="29" style="81" customWidth="1"/>
    <col min="9" max="9" width="26" style="81" customWidth="1"/>
    <col min="10" max="10" width="19.28515625" style="81" customWidth="1"/>
    <col min="11" max="11" width="9.140625" style="81"/>
    <col min="12" max="12" width="20.42578125" style="81" customWidth="1"/>
    <col min="13" max="16384" width="9.140625" style="81"/>
  </cols>
  <sheetData>
    <row r="1" spans="1:20" s="47" customFormat="1" x14ac:dyDescent="0.25">
      <c r="A1" s="288" t="s">
        <v>866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</row>
    <row r="2" spans="1:20" s="47" customFormat="1" x14ac:dyDescent="0.25">
      <c r="A2" s="289" t="s">
        <v>575</v>
      </c>
      <c r="B2" s="289"/>
      <c r="C2" s="289"/>
      <c r="D2" s="289"/>
      <c r="E2" s="289"/>
      <c r="F2" s="289"/>
      <c r="G2" s="28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s="47" customFormat="1" x14ac:dyDescent="0.25">
      <c r="A3" s="47">
        <v>1</v>
      </c>
      <c r="G3" s="47" t="s">
        <v>12</v>
      </c>
      <c r="H3" s="47" t="s">
        <v>13</v>
      </c>
      <c r="I3" s="47" t="s">
        <v>685</v>
      </c>
      <c r="J3" s="47" t="s">
        <v>686</v>
      </c>
      <c r="K3" s="49" t="s">
        <v>98</v>
      </c>
      <c r="L3" s="49" t="s">
        <v>16</v>
      </c>
      <c r="N3" s="80" t="s">
        <v>687</v>
      </c>
      <c r="O3" s="47" t="s">
        <v>688</v>
      </c>
      <c r="Q3" s="47" t="s">
        <v>689</v>
      </c>
      <c r="R3" s="47" t="s">
        <v>20</v>
      </c>
      <c r="S3" s="47" t="s">
        <v>20</v>
      </c>
      <c r="T3" s="47" t="s">
        <v>20</v>
      </c>
    </row>
    <row r="4" spans="1:20" s="47" customFormat="1" x14ac:dyDescent="0.25">
      <c r="A4" s="47">
        <v>2</v>
      </c>
      <c r="G4" s="47" t="s">
        <v>12</v>
      </c>
      <c r="H4" s="47" t="s">
        <v>13</v>
      </c>
      <c r="I4" s="47" t="s">
        <v>685</v>
      </c>
      <c r="J4" s="47" t="s">
        <v>686</v>
      </c>
      <c r="K4" s="49" t="s">
        <v>98</v>
      </c>
      <c r="L4" s="49" t="s">
        <v>16</v>
      </c>
      <c r="N4" s="47" t="s">
        <v>690</v>
      </c>
      <c r="O4" s="47" t="s">
        <v>691</v>
      </c>
      <c r="Q4" s="47" t="s">
        <v>692</v>
      </c>
      <c r="R4" s="47" t="s">
        <v>693</v>
      </c>
      <c r="S4" s="47" t="s">
        <v>693</v>
      </c>
      <c r="T4" s="47" t="s">
        <v>693</v>
      </c>
    </row>
    <row r="5" spans="1:20" s="47" customFormat="1" x14ac:dyDescent="0.25">
      <c r="A5" s="47">
        <v>3</v>
      </c>
      <c r="G5" s="47" t="s">
        <v>12</v>
      </c>
      <c r="H5" s="47" t="s">
        <v>13</v>
      </c>
      <c r="I5" s="47" t="s">
        <v>685</v>
      </c>
      <c r="J5" s="47" t="s">
        <v>686</v>
      </c>
      <c r="K5" s="49" t="s">
        <v>98</v>
      </c>
      <c r="L5" s="49" t="s">
        <v>594</v>
      </c>
    </row>
    <row r="6" spans="1:20" s="47" customFormat="1" x14ac:dyDescent="0.25">
      <c r="A6" s="47">
        <v>4</v>
      </c>
      <c r="G6" s="47" t="s">
        <v>12</v>
      </c>
      <c r="H6" s="47" t="s">
        <v>13</v>
      </c>
      <c r="I6" s="47" t="s">
        <v>685</v>
      </c>
      <c r="J6" s="47" t="s">
        <v>686</v>
      </c>
      <c r="K6" s="49" t="s">
        <v>98</v>
      </c>
      <c r="L6" s="49" t="s">
        <v>16</v>
      </c>
      <c r="N6" s="80" t="s">
        <v>687</v>
      </c>
      <c r="O6" s="47" t="s">
        <v>694</v>
      </c>
      <c r="Q6" s="47" t="s">
        <v>695</v>
      </c>
      <c r="R6" s="47" t="s">
        <v>23</v>
      </c>
      <c r="S6" s="47" t="s">
        <v>20</v>
      </c>
      <c r="T6" s="47" t="s">
        <v>20</v>
      </c>
    </row>
    <row r="7" spans="1:20" s="47" customFormat="1" x14ac:dyDescent="0.25">
      <c r="A7" s="47">
        <v>5</v>
      </c>
      <c r="G7" s="47" t="s">
        <v>12</v>
      </c>
      <c r="H7" s="47" t="s">
        <v>13</v>
      </c>
      <c r="I7" s="47" t="s">
        <v>685</v>
      </c>
      <c r="J7" s="47" t="s">
        <v>686</v>
      </c>
      <c r="K7" s="49" t="s">
        <v>98</v>
      </c>
      <c r="L7" s="49" t="s">
        <v>16</v>
      </c>
      <c r="N7" s="47" t="s">
        <v>696</v>
      </c>
      <c r="O7" s="47" t="s">
        <v>697</v>
      </c>
      <c r="Q7" s="47" t="s">
        <v>698</v>
      </c>
      <c r="R7" s="47" t="s">
        <v>23</v>
      </c>
      <c r="S7" s="47" t="s">
        <v>20</v>
      </c>
      <c r="T7" s="47" t="s">
        <v>20</v>
      </c>
    </row>
    <row r="8" spans="1:20" s="47" customFormat="1" x14ac:dyDescent="0.25">
      <c r="A8" s="50">
        <v>6</v>
      </c>
      <c r="G8" s="47" t="s">
        <v>12</v>
      </c>
      <c r="H8" s="47" t="s">
        <v>13</v>
      </c>
      <c r="I8" s="47" t="s">
        <v>685</v>
      </c>
      <c r="J8" s="47" t="s">
        <v>686</v>
      </c>
      <c r="K8" s="49" t="s">
        <v>98</v>
      </c>
      <c r="L8" s="49" t="s">
        <v>16</v>
      </c>
      <c r="N8" s="47" t="s">
        <v>17</v>
      </c>
      <c r="O8" s="47" t="s">
        <v>294</v>
      </c>
      <c r="Q8" s="47" t="s">
        <v>699</v>
      </c>
      <c r="R8" s="47" t="s">
        <v>693</v>
      </c>
      <c r="S8" s="47" t="s">
        <v>693</v>
      </c>
      <c r="T8" s="47" t="s">
        <v>693</v>
      </c>
    </row>
    <row r="9" spans="1:20" s="47" customFormat="1" x14ac:dyDescent="0.25">
      <c r="A9" s="47">
        <v>7</v>
      </c>
      <c r="G9" s="47" t="s">
        <v>12</v>
      </c>
      <c r="H9" s="47" t="s">
        <v>13</v>
      </c>
      <c r="I9" s="47" t="s">
        <v>685</v>
      </c>
      <c r="J9" s="47" t="s">
        <v>595</v>
      </c>
      <c r="K9" s="49" t="s">
        <v>98</v>
      </c>
      <c r="L9" s="49" t="s">
        <v>594</v>
      </c>
    </row>
    <row r="10" spans="1:20" s="47" customFormat="1" x14ac:dyDescent="0.25">
      <c r="A10" s="47">
        <v>8</v>
      </c>
      <c r="G10" s="47" t="s">
        <v>12</v>
      </c>
      <c r="H10" s="47" t="s">
        <v>13</v>
      </c>
      <c r="I10" s="47" t="s">
        <v>685</v>
      </c>
      <c r="J10" s="47" t="s">
        <v>595</v>
      </c>
      <c r="K10" s="49" t="s">
        <v>98</v>
      </c>
      <c r="L10" s="49" t="s">
        <v>30</v>
      </c>
      <c r="M10" s="47" t="s">
        <v>22</v>
      </c>
      <c r="N10" s="47" t="s">
        <v>17</v>
      </c>
      <c r="O10" s="47" t="s">
        <v>700</v>
      </c>
      <c r="Q10" s="47" t="s">
        <v>695</v>
      </c>
      <c r="R10" s="47" t="s">
        <v>23</v>
      </c>
      <c r="S10" s="47" t="s">
        <v>20</v>
      </c>
      <c r="T10" s="47" t="s">
        <v>20</v>
      </c>
    </row>
    <row r="11" spans="1:20" s="82" customFormat="1" x14ac:dyDescent="0.25">
      <c r="A11" s="82">
        <v>9</v>
      </c>
      <c r="G11" s="82" t="s">
        <v>12</v>
      </c>
      <c r="H11" s="82" t="s">
        <v>13</v>
      </c>
      <c r="I11" s="82" t="s">
        <v>685</v>
      </c>
      <c r="J11" s="82" t="s">
        <v>595</v>
      </c>
      <c r="K11" s="83" t="s">
        <v>98</v>
      </c>
      <c r="L11" s="83" t="s">
        <v>16</v>
      </c>
      <c r="N11" s="82" t="s">
        <v>131</v>
      </c>
      <c r="O11" s="82" t="s">
        <v>18</v>
      </c>
      <c r="Q11" s="82" t="s">
        <v>701</v>
      </c>
      <c r="R11" s="82" t="s">
        <v>20</v>
      </c>
      <c r="S11" s="82" t="s">
        <v>20</v>
      </c>
      <c r="T11" s="82" t="s">
        <v>693</v>
      </c>
    </row>
    <row r="12" spans="1:20" s="48" customFormat="1" x14ac:dyDescent="0.25">
      <c r="K12" s="84"/>
    </row>
  </sheetData>
  <mergeCells count="2">
    <mergeCell ref="A1:T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DC35-A92C-42D1-92B6-F268B8931203}">
  <dimension ref="A1:T115"/>
  <sheetViews>
    <sheetView topLeftCell="E67" workbookViewId="0">
      <selection activeCell="F117" sqref="F117"/>
    </sheetView>
  </sheetViews>
  <sheetFormatPr defaultColWidth="9.140625" defaultRowHeight="15.75" x14ac:dyDescent="0.25"/>
  <cols>
    <col min="1" max="1" width="9.140625" style="71"/>
    <col min="2" max="2" width="42.42578125" style="71" customWidth="1"/>
    <col min="3" max="3" width="24.140625" style="71" customWidth="1"/>
    <col min="4" max="4" width="42.85546875" style="71" customWidth="1"/>
    <col min="5" max="5" width="9.140625" style="71"/>
    <col min="6" max="6" width="13.85546875" style="71" customWidth="1"/>
    <col min="7" max="10" width="9.140625" style="71"/>
    <col min="11" max="11" width="18.140625" style="71" customWidth="1"/>
    <col min="12" max="12" width="22.7109375" style="71" customWidth="1"/>
    <col min="13" max="13" width="13.28515625" style="71" customWidth="1"/>
    <col min="14" max="14" width="16.28515625" style="71" customWidth="1"/>
    <col min="15" max="15" width="22" style="71" customWidth="1"/>
    <col min="16" max="16" width="25.5703125" style="71" customWidth="1"/>
    <col min="17" max="17" width="19.7109375" style="71" customWidth="1"/>
    <col min="18" max="18" width="18.5703125" style="71" customWidth="1"/>
    <col min="19" max="16384" width="9.140625" style="71"/>
  </cols>
  <sheetData>
    <row r="1" spans="1:20" s="54" customFormat="1" x14ac:dyDescent="0.25">
      <c r="A1" s="291" t="s">
        <v>283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</row>
    <row r="2" spans="1:20" s="54" customFormat="1" x14ac:dyDescent="0.25">
      <c r="A2" s="292" t="s">
        <v>165</v>
      </c>
      <c r="B2" s="292"/>
      <c r="C2" s="292"/>
      <c r="D2" s="292"/>
      <c r="E2" s="292"/>
      <c r="F2" s="292"/>
      <c r="G2" s="292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s="54" customFormat="1" x14ac:dyDescent="0.25">
      <c r="A3" s="56">
        <v>1</v>
      </c>
      <c r="C3" s="72"/>
      <c r="D3" s="73"/>
      <c r="E3" s="73" t="s">
        <v>190</v>
      </c>
      <c r="F3" s="73"/>
      <c r="G3" s="57" t="s">
        <v>12</v>
      </c>
      <c r="H3" s="57" t="s">
        <v>13</v>
      </c>
      <c r="I3" s="57" t="s">
        <v>284</v>
      </c>
      <c r="J3" s="57" t="s">
        <v>166</v>
      </c>
      <c r="K3" s="58" t="s">
        <v>98</v>
      </c>
      <c r="L3" s="58" t="s">
        <v>16</v>
      </c>
      <c r="M3" s="57"/>
      <c r="N3" s="57" t="s">
        <v>285</v>
      </c>
      <c r="O3" s="54" t="s">
        <v>286</v>
      </c>
      <c r="P3" s="54" t="s">
        <v>226</v>
      </c>
      <c r="Q3" s="54" t="s">
        <v>287</v>
      </c>
      <c r="R3" s="54" t="s">
        <v>23</v>
      </c>
      <c r="T3" s="57"/>
    </row>
    <row r="4" spans="1:20" s="54" customFormat="1" x14ac:dyDescent="0.25">
      <c r="A4" s="56">
        <v>2</v>
      </c>
      <c r="C4" s="72"/>
      <c r="E4" s="54" t="s">
        <v>190</v>
      </c>
      <c r="G4" s="57" t="s">
        <v>12</v>
      </c>
      <c r="H4" s="57" t="s">
        <v>13</v>
      </c>
      <c r="I4" s="57" t="s">
        <v>284</v>
      </c>
      <c r="J4" s="57" t="s">
        <v>166</v>
      </c>
      <c r="K4" s="59" t="s">
        <v>98</v>
      </c>
      <c r="L4" s="58" t="s">
        <v>16</v>
      </c>
      <c r="M4" s="54" t="s">
        <v>288</v>
      </c>
      <c r="N4" s="57" t="s">
        <v>129</v>
      </c>
      <c r="O4" s="54" t="s">
        <v>289</v>
      </c>
      <c r="P4" s="54" t="s">
        <v>290</v>
      </c>
      <c r="Q4" s="54" t="s">
        <v>291</v>
      </c>
      <c r="R4" s="54" t="s">
        <v>23</v>
      </c>
      <c r="T4" s="57"/>
    </row>
    <row r="5" spans="1:20" s="54" customFormat="1" x14ac:dyDescent="0.25">
      <c r="A5" s="60">
        <v>3</v>
      </c>
      <c r="C5" s="61"/>
      <c r="E5" s="54" t="s">
        <v>31</v>
      </c>
      <c r="G5" s="57" t="s">
        <v>12</v>
      </c>
      <c r="H5" s="57" t="s">
        <v>13</v>
      </c>
      <c r="I5" s="57" t="s">
        <v>284</v>
      </c>
      <c r="J5" s="57" t="s">
        <v>166</v>
      </c>
      <c r="K5" s="59" t="s">
        <v>98</v>
      </c>
      <c r="L5" s="58" t="s">
        <v>16</v>
      </c>
      <c r="M5" s="57"/>
      <c r="N5" s="57" t="s">
        <v>31</v>
      </c>
      <c r="O5" s="54" t="s">
        <v>292</v>
      </c>
      <c r="P5" s="54" t="s">
        <v>243</v>
      </c>
      <c r="Q5" s="54" t="s">
        <v>293</v>
      </c>
      <c r="R5" s="54" t="s">
        <v>23</v>
      </c>
    </row>
    <row r="6" spans="1:20" s="54" customFormat="1" x14ac:dyDescent="0.25">
      <c r="A6" s="60">
        <v>4</v>
      </c>
      <c r="B6" s="62"/>
      <c r="C6" s="61"/>
      <c r="E6" s="54" t="s">
        <v>25</v>
      </c>
      <c r="G6" s="57" t="s">
        <v>12</v>
      </c>
      <c r="H6" s="57" t="s">
        <v>13</v>
      </c>
      <c r="I6" s="57" t="s">
        <v>284</v>
      </c>
      <c r="J6" s="57" t="s">
        <v>166</v>
      </c>
      <c r="K6" s="59" t="s">
        <v>863</v>
      </c>
      <c r="L6" s="58" t="s">
        <v>16</v>
      </c>
      <c r="M6" s="57"/>
      <c r="N6" s="54" t="s">
        <v>131</v>
      </c>
      <c r="O6" s="54" t="s">
        <v>294</v>
      </c>
      <c r="P6" s="54" t="s">
        <v>243</v>
      </c>
      <c r="Q6" s="54" t="s">
        <v>295</v>
      </c>
      <c r="R6" s="54" t="s">
        <v>23</v>
      </c>
    </row>
    <row r="7" spans="1:20" s="54" customFormat="1" x14ac:dyDescent="0.25">
      <c r="A7" s="60">
        <v>5</v>
      </c>
      <c r="C7" s="61"/>
      <c r="E7" s="54" t="s">
        <v>296</v>
      </c>
      <c r="G7" s="57" t="s">
        <v>12</v>
      </c>
      <c r="H7" s="57" t="s">
        <v>13</v>
      </c>
      <c r="I7" s="57" t="s">
        <v>284</v>
      </c>
      <c r="J7" s="57" t="s">
        <v>166</v>
      </c>
      <c r="K7" s="59" t="s">
        <v>98</v>
      </c>
      <c r="L7" s="58" t="s">
        <v>16</v>
      </c>
      <c r="N7" s="54" t="s">
        <v>296</v>
      </c>
      <c r="O7" s="54" t="s">
        <v>297</v>
      </c>
      <c r="P7" s="54" t="s">
        <v>298</v>
      </c>
      <c r="Q7" s="54" t="s">
        <v>241</v>
      </c>
      <c r="R7" s="54" t="s">
        <v>20</v>
      </c>
    </row>
    <row r="8" spans="1:20" s="54" customFormat="1" x14ac:dyDescent="0.25">
      <c r="A8" s="60">
        <v>6</v>
      </c>
      <c r="C8" s="61"/>
      <c r="E8" s="54" t="s">
        <v>299</v>
      </c>
      <c r="G8" s="57" t="s">
        <v>12</v>
      </c>
      <c r="H8" s="57" t="s">
        <v>13</v>
      </c>
      <c r="I8" s="57" t="s">
        <v>284</v>
      </c>
      <c r="J8" s="57" t="s">
        <v>166</v>
      </c>
      <c r="K8" s="59" t="s">
        <v>98</v>
      </c>
      <c r="L8" s="58" t="s">
        <v>16</v>
      </c>
      <c r="M8" s="57"/>
      <c r="N8" s="57" t="s">
        <v>31</v>
      </c>
      <c r="O8" s="54" t="s">
        <v>300</v>
      </c>
      <c r="P8" s="54" t="s">
        <v>243</v>
      </c>
      <c r="Q8" s="54" t="s">
        <v>301</v>
      </c>
      <c r="R8" s="54" t="s">
        <v>20</v>
      </c>
    </row>
    <row r="9" spans="1:20" s="54" customFormat="1" x14ac:dyDescent="0.25">
      <c r="A9" s="60">
        <v>7</v>
      </c>
      <c r="C9" s="61"/>
      <c r="E9" s="54" t="s">
        <v>95</v>
      </c>
      <c r="G9" s="57" t="s">
        <v>12</v>
      </c>
      <c r="H9" s="57" t="s">
        <v>13</v>
      </c>
      <c r="I9" s="57" t="s">
        <v>284</v>
      </c>
      <c r="J9" s="57" t="s">
        <v>166</v>
      </c>
      <c r="K9" s="59" t="s">
        <v>98</v>
      </c>
      <c r="L9" s="58" t="s">
        <v>30</v>
      </c>
      <c r="M9" s="54" t="s">
        <v>302</v>
      </c>
      <c r="N9" s="57" t="s">
        <v>303</v>
      </c>
      <c r="O9" s="54" t="s">
        <v>304</v>
      </c>
      <c r="P9" s="54" t="s">
        <v>305</v>
      </c>
      <c r="Q9" s="54" t="s">
        <v>306</v>
      </c>
      <c r="R9" s="54" t="s">
        <v>23</v>
      </c>
    </row>
    <row r="10" spans="1:20" s="54" customFormat="1" x14ac:dyDescent="0.25">
      <c r="A10" s="60">
        <v>8</v>
      </c>
      <c r="C10" s="61"/>
      <c r="E10" s="54" t="s">
        <v>106</v>
      </c>
      <c r="G10" s="57" t="s">
        <v>12</v>
      </c>
      <c r="H10" s="57" t="s">
        <v>13</v>
      </c>
      <c r="I10" s="57" t="s">
        <v>284</v>
      </c>
      <c r="J10" s="57" t="s">
        <v>166</v>
      </c>
      <c r="K10" s="59" t="s">
        <v>98</v>
      </c>
      <c r="L10" s="58" t="s">
        <v>16</v>
      </c>
      <c r="M10" s="57"/>
      <c r="N10" s="54" t="s">
        <v>131</v>
      </c>
      <c r="O10" s="54" t="s">
        <v>786</v>
      </c>
      <c r="Q10" s="54" t="s">
        <v>81</v>
      </c>
      <c r="R10" s="54" t="s">
        <v>20</v>
      </c>
    </row>
    <row r="11" spans="1:20" s="54" customFormat="1" x14ac:dyDescent="0.25">
      <c r="A11" s="60">
        <v>9</v>
      </c>
      <c r="C11" s="61"/>
      <c r="E11" s="54" t="s">
        <v>307</v>
      </c>
      <c r="G11" s="57" t="s">
        <v>12</v>
      </c>
      <c r="H11" s="57" t="s">
        <v>13</v>
      </c>
      <c r="I11" s="57" t="s">
        <v>284</v>
      </c>
      <c r="J11" s="57" t="s">
        <v>166</v>
      </c>
      <c r="K11" s="59" t="s">
        <v>98</v>
      </c>
      <c r="L11" s="58" t="s">
        <v>16</v>
      </c>
      <c r="M11" s="57"/>
      <c r="N11" s="57" t="s">
        <v>308</v>
      </c>
      <c r="O11" s="54" t="s">
        <v>309</v>
      </c>
      <c r="P11" s="54" t="s">
        <v>117</v>
      </c>
      <c r="Q11" s="54" t="s">
        <v>136</v>
      </c>
      <c r="R11" s="54" t="s">
        <v>23</v>
      </c>
    </row>
    <row r="12" spans="1:20" s="54" customFormat="1" x14ac:dyDescent="0.25">
      <c r="A12" s="60">
        <v>10</v>
      </c>
      <c r="B12" s="63"/>
      <c r="C12" s="61"/>
      <c r="E12" s="54" t="s">
        <v>137</v>
      </c>
      <c r="G12" s="57" t="s">
        <v>12</v>
      </c>
      <c r="H12" s="57" t="s">
        <v>13</v>
      </c>
      <c r="I12" s="57" t="s">
        <v>284</v>
      </c>
      <c r="J12" s="57" t="s">
        <v>166</v>
      </c>
      <c r="K12" s="64" t="s">
        <v>98</v>
      </c>
      <c r="L12" s="57" t="s">
        <v>43</v>
      </c>
      <c r="M12" s="57"/>
      <c r="N12" s="57"/>
      <c r="O12" s="57"/>
      <c r="Q12" s="57"/>
      <c r="R12" s="57"/>
    </row>
    <row r="13" spans="1:20" s="54" customFormat="1" x14ac:dyDescent="0.25">
      <c r="A13" s="60">
        <v>11</v>
      </c>
      <c r="C13" s="61"/>
      <c r="E13" s="73" t="s">
        <v>190</v>
      </c>
      <c r="F13" s="73"/>
      <c r="G13" s="57" t="s">
        <v>12</v>
      </c>
      <c r="H13" s="57" t="s">
        <v>13</v>
      </c>
      <c r="I13" s="57" t="s">
        <v>284</v>
      </c>
      <c r="J13" s="57" t="s">
        <v>166</v>
      </c>
      <c r="K13" s="59" t="s">
        <v>98</v>
      </c>
      <c r="L13" s="58" t="s">
        <v>16</v>
      </c>
      <c r="M13" s="57"/>
      <c r="N13" s="57" t="s">
        <v>310</v>
      </c>
      <c r="O13" s="54" t="s">
        <v>311</v>
      </c>
      <c r="P13" s="54" t="s">
        <v>0</v>
      </c>
      <c r="Q13" s="54" t="s">
        <v>312</v>
      </c>
      <c r="R13" s="54" t="s">
        <v>20</v>
      </c>
    </row>
    <row r="14" spans="1:20" s="54" customFormat="1" x14ac:dyDescent="0.25">
      <c r="A14" s="60">
        <v>12</v>
      </c>
      <c r="C14" s="61"/>
      <c r="E14" s="54" t="s">
        <v>313</v>
      </c>
      <c r="G14" s="57" t="s">
        <v>12</v>
      </c>
      <c r="H14" s="57" t="s">
        <v>13</v>
      </c>
      <c r="I14" s="57" t="s">
        <v>284</v>
      </c>
      <c r="J14" s="57" t="s">
        <v>166</v>
      </c>
      <c r="K14" s="59" t="s">
        <v>98</v>
      </c>
      <c r="L14" s="58" t="s">
        <v>16</v>
      </c>
      <c r="M14" s="57"/>
      <c r="N14" s="57" t="s">
        <v>161</v>
      </c>
      <c r="O14" s="54" t="s">
        <v>314</v>
      </c>
      <c r="P14" s="54" t="s">
        <v>315</v>
      </c>
      <c r="Q14" s="54" t="s">
        <v>136</v>
      </c>
      <c r="R14" s="54" t="s">
        <v>23</v>
      </c>
    </row>
    <row r="15" spans="1:20" s="54" customFormat="1" x14ac:dyDescent="0.25">
      <c r="A15" s="60">
        <v>13</v>
      </c>
      <c r="C15" s="61"/>
      <c r="E15" s="73" t="s">
        <v>190</v>
      </c>
      <c r="F15" s="73"/>
      <c r="G15" s="57" t="s">
        <v>12</v>
      </c>
      <c r="H15" s="57" t="s">
        <v>13</v>
      </c>
      <c r="I15" s="57" t="s">
        <v>284</v>
      </c>
      <c r="J15" s="57" t="s">
        <v>166</v>
      </c>
      <c r="K15" s="59" t="s">
        <v>98</v>
      </c>
      <c r="L15" s="57" t="s">
        <v>43</v>
      </c>
      <c r="M15" s="57"/>
      <c r="N15" s="57"/>
    </row>
    <row r="16" spans="1:20" s="54" customFormat="1" x14ac:dyDescent="0.25">
      <c r="A16" s="60">
        <v>14</v>
      </c>
      <c r="C16" s="61"/>
      <c r="E16" s="54" t="s">
        <v>316</v>
      </c>
      <c r="G16" s="57" t="s">
        <v>12</v>
      </c>
      <c r="H16" s="57" t="s">
        <v>13</v>
      </c>
      <c r="I16" s="57" t="s">
        <v>284</v>
      </c>
      <c r="J16" s="57" t="s">
        <v>166</v>
      </c>
      <c r="K16" s="59" t="s">
        <v>98</v>
      </c>
      <c r="L16" s="57" t="s">
        <v>43</v>
      </c>
      <c r="M16" s="57"/>
      <c r="N16" s="57"/>
    </row>
    <row r="17" spans="1:20" s="54" customFormat="1" x14ac:dyDescent="0.25">
      <c r="A17" s="60">
        <v>15</v>
      </c>
      <c r="C17" s="61"/>
      <c r="E17" s="54" t="s">
        <v>317</v>
      </c>
      <c r="G17" s="57" t="s">
        <v>12</v>
      </c>
      <c r="H17" s="57" t="s">
        <v>13</v>
      </c>
      <c r="I17" s="57" t="s">
        <v>284</v>
      </c>
      <c r="J17" s="57" t="s">
        <v>166</v>
      </c>
      <c r="K17" s="59" t="s">
        <v>98</v>
      </c>
      <c r="L17" s="57" t="s">
        <v>43</v>
      </c>
      <c r="M17" s="57"/>
      <c r="N17" s="57"/>
    </row>
    <row r="18" spans="1:20" s="54" customFormat="1" x14ac:dyDescent="0.25">
      <c r="A18" s="60">
        <v>16</v>
      </c>
      <c r="C18" s="61"/>
      <c r="E18" s="54" t="s">
        <v>215</v>
      </c>
      <c r="G18" s="57" t="s">
        <v>12</v>
      </c>
      <c r="H18" s="57" t="s">
        <v>13</v>
      </c>
      <c r="I18" s="57" t="s">
        <v>284</v>
      </c>
      <c r="J18" s="57" t="s">
        <v>166</v>
      </c>
      <c r="K18" s="59" t="s">
        <v>98</v>
      </c>
      <c r="L18" s="58" t="s">
        <v>16</v>
      </c>
      <c r="M18" s="57"/>
      <c r="N18" s="57" t="s">
        <v>31</v>
      </c>
      <c r="P18" s="54" t="s">
        <v>318</v>
      </c>
      <c r="Q18" s="54" t="s">
        <v>319</v>
      </c>
      <c r="R18" s="54" t="s">
        <v>20</v>
      </c>
    </row>
    <row r="19" spans="1:20" s="54" customFormat="1" x14ac:dyDescent="0.25">
      <c r="A19" s="60">
        <v>17</v>
      </c>
      <c r="C19" s="61"/>
      <c r="E19" s="54" t="s">
        <v>320</v>
      </c>
      <c r="G19" s="57" t="s">
        <v>12</v>
      </c>
      <c r="H19" s="57" t="s">
        <v>13</v>
      </c>
      <c r="I19" s="57" t="s">
        <v>284</v>
      </c>
      <c r="J19" s="57" t="s">
        <v>166</v>
      </c>
      <c r="K19" s="59" t="s">
        <v>98</v>
      </c>
      <c r="L19" s="58" t="s">
        <v>16</v>
      </c>
      <c r="M19" s="57"/>
      <c r="N19" s="57" t="s">
        <v>321</v>
      </c>
      <c r="O19" s="54" t="s">
        <v>322</v>
      </c>
      <c r="P19" s="54" t="s">
        <v>323</v>
      </c>
      <c r="Q19" s="54" t="s">
        <v>136</v>
      </c>
      <c r="R19" s="54" t="s">
        <v>23</v>
      </c>
    </row>
    <row r="20" spans="1:20" s="54" customFormat="1" x14ac:dyDescent="0.25">
      <c r="A20" s="60">
        <v>18</v>
      </c>
      <c r="C20" s="61"/>
      <c r="E20" s="54" t="s">
        <v>215</v>
      </c>
      <c r="G20" s="57" t="s">
        <v>12</v>
      </c>
      <c r="H20" s="57" t="s">
        <v>13</v>
      </c>
      <c r="I20" s="57" t="s">
        <v>284</v>
      </c>
      <c r="J20" s="57" t="s">
        <v>166</v>
      </c>
      <c r="K20" s="59" t="s">
        <v>98</v>
      </c>
      <c r="L20" s="58" t="s">
        <v>16</v>
      </c>
      <c r="M20" s="57"/>
      <c r="N20" s="57" t="s">
        <v>31</v>
      </c>
      <c r="O20" s="54" t="s">
        <v>324</v>
      </c>
      <c r="P20" s="54" t="s">
        <v>325</v>
      </c>
      <c r="Q20" s="54" t="s">
        <v>326</v>
      </c>
      <c r="R20" s="54" t="s">
        <v>23</v>
      </c>
    </row>
    <row r="21" spans="1:20" s="54" customFormat="1" x14ac:dyDescent="0.25">
      <c r="A21" s="60">
        <v>19</v>
      </c>
      <c r="C21" s="61"/>
      <c r="E21" s="54" t="s">
        <v>215</v>
      </c>
      <c r="G21" s="57" t="s">
        <v>12</v>
      </c>
      <c r="H21" s="57" t="s">
        <v>13</v>
      </c>
      <c r="I21" s="57" t="s">
        <v>284</v>
      </c>
      <c r="J21" s="57" t="s">
        <v>166</v>
      </c>
      <c r="K21" s="59" t="s">
        <v>98</v>
      </c>
      <c r="L21" s="58" t="s">
        <v>16</v>
      </c>
      <c r="M21" s="57"/>
      <c r="N21" s="57" t="s">
        <v>31</v>
      </c>
      <c r="O21" s="54" t="s">
        <v>327</v>
      </c>
      <c r="P21" s="54" t="s">
        <v>328</v>
      </c>
      <c r="Q21" s="54" t="s">
        <v>329</v>
      </c>
      <c r="R21" s="54" t="s">
        <v>23</v>
      </c>
    </row>
    <row r="22" spans="1:20" s="54" customFormat="1" x14ac:dyDescent="0.25">
      <c r="A22" s="60">
        <v>20</v>
      </c>
      <c r="C22" s="61"/>
      <c r="E22" s="54" t="s">
        <v>31</v>
      </c>
      <c r="G22" s="57" t="s">
        <v>12</v>
      </c>
      <c r="H22" s="57" t="s">
        <v>13</v>
      </c>
      <c r="I22" s="57" t="s">
        <v>284</v>
      </c>
      <c r="J22" s="57" t="s">
        <v>166</v>
      </c>
      <c r="K22" s="59" t="s">
        <v>98</v>
      </c>
      <c r="L22" s="58" t="s">
        <v>16</v>
      </c>
      <c r="M22" s="57"/>
      <c r="N22" s="57" t="s">
        <v>31</v>
      </c>
      <c r="O22" s="54" t="s">
        <v>330</v>
      </c>
      <c r="P22" s="54" t="s">
        <v>0</v>
      </c>
      <c r="Q22" s="54" t="s">
        <v>191</v>
      </c>
      <c r="R22" s="54" t="s">
        <v>23</v>
      </c>
    </row>
    <row r="23" spans="1:20" s="54" customFormat="1" x14ac:dyDescent="0.25">
      <c r="A23" s="60">
        <v>21</v>
      </c>
      <c r="C23" s="61"/>
      <c r="E23" s="54" t="s">
        <v>331</v>
      </c>
      <c r="G23" s="57" t="s">
        <v>12</v>
      </c>
      <c r="H23" s="57" t="s">
        <v>13</v>
      </c>
      <c r="I23" s="57" t="s">
        <v>284</v>
      </c>
      <c r="J23" s="57" t="s">
        <v>166</v>
      </c>
      <c r="K23" s="59" t="s">
        <v>98</v>
      </c>
      <c r="L23" s="58" t="s">
        <v>16</v>
      </c>
      <c r="M23" s="57"/>
      <c r="N23" s="57" t="s">
        <v>332</v>
      </c>
      <c r="O23" s="54" t="s">
        <v>333</v>
      </c>
      <c r="P23" s="54" t="s">
        <v>334</v>
      </c>
      <c r="Q23" s="54" t="s">
        <v>335</v>
      </c>
      <c r="R23" s="54" t="s">
        <v>20</v>
      </c>
    </row>
    <row r="24" spans="1:20" s="54" customFormat="1" x14ac:dyDescent="0.25">
      <c r="A24" s="60">
        <v>22</v>
      </c>
      <c r="C24" s="61"/>
      <c r="E24" s="54" t="s">
        <v>25</v>
      </c>
      <c r="G24" s="57" t="s">
        <v>12</v>
      </c>
      <c r="H24" s="57" t="s">
        <v>13</v>
      </c>
      <c r="I24" s="57" t="s">
        <v>284</v>
      </c>
      <c r="J24" s="57" t="s">
        <v>166</v>
      </c>
      <c r="K24" s="59" t="s">
        <v>98</v>
      </c>
      <c r="L24" s="57" t="s">
        <v>43</v>
      </c>
      <c r="M24" s="57"/>
      <c r="N24" s="57"/>
      <c r="O24" s="54" t="s">
        <v>336</v>
      </c>
    </row>
    <row r="25" spans="1:20" s="54" customFormat="1" x14ac:dyDescent="0.25">
      <c r="A25" s="60">
        <v>23</v>
      </c>
      <c r="C25" s="61"/>
      <c r="E25" s="54" t="s">
        <v>31</v>
      </c>
      <c r="G25" s="57" t="s">
        <v>12</v>
      </c>
      <c r="H25" s="57" t="s">
        <v>13</v>
      </c>
      <c r="I25" s="57" t="s">
        <v>284</v>
      </c>
      <c r="J25" s="57" t="s">
        <v>166</v>
      </c>
      <c r="K25" s="59" t="s">
        <v>98</v>
      </c>
      <c r="L25" s="58" t="s">
        <v>16</v>
      </c>
      <c r="M25" s="57"/>
      <c r="N25" s="57" t="s">
        <v>31</v>
      </c>
      <c r="O25" s="54" t="s">
        <v>337</v>
      </c>
      <c r="P25" s="54" t="s">
        <v>226</v>
      </c>
      <c r="Q25" s="54" t="s">
        <v>338</v>
      </c>
      <c r="R25" s="54" t="s">
        <v>23</v>
      </c>
    </row>
    <row r="26" spans="1:20" s="54" customFormat="1" x14ac:dyDescent="0.25">
      <c r="A26" s="60">
        <v>24</v>
      </c>
      <c r="C26" s="61"/>
      <c r="E26" s="54" t="s">
        <v>339</v>
      </c>
      <c r="G26" s="57" t="s">
        <v>12</v>
      </c>
      <c r="H26" s="57" t="s">
        <v>13</v>
      </c>
      <c r="I26" s="57" t="s">
        <v>284</v>
      </c>
      <c r="J26" s="57" t="s">
        <v>166</v>
      </c>
      <c r="K26" s="59" t="s">
        <v>98</v>
      </c>
      <c r="L26" s="57" t="s">
        <v>43</v>
      </c>
      <c r="M26" s="57"/>
      <c r="N26" s="57"/>
    </row>
    <row r="27" spans="1:20" s="54" customFormat="1" x14ac:dyDescent="0.25">
      <c r="A27" s="60">
        <v>25</v>
      </c>
      <c r="C27" s="61"/>
      <c r="E27" s="54" t="s">
        <v>82</v>
      </c>
      <c r="G27" s="57" t="s">
        <v>12</v>
      </c>
      <c r="H27" s="57" t="s">
        <v>13</v>
      </c>
      <c r="I27" s="57" t="s">
        <v>284</v>
      </c>
      <c r="J27" s="57" t="s">
        <v>166</v>
      </c>
      <c r="K27" s="59" t="s">
        <v>98</v>
      </c>
      <c r="L27" s="57" t="s">
        <v>43</v>
      </c>
      <c r="M27" s="57"/>
      <c r="N27" s="57"/>
      <c r="R27" s="54" t="s">
        <v>20</v>
      </c>
    </row>
    <row r="28" spans="1:20" s="54" customFormat="1" x14ac:dyDescent="0.25">
      <c r="A28" s="60">
        <v>26</v>
      </c>
      <c r="C28" s="61"/>
      <c r="E28" s="54" t="s">
        <v>340</v>
      </c>
      <c r="G28" s="57" t="s">
        <v>12</v>
      </c>
      <c r="H28" s="57" t="s">
        <v>13</v>
      </c>
      <c r="I28" s="57" t="s">
        <v>284</v>
      </c>
      <c r="J28" s="57" t="s">
        <v>166</v>
      </c>
      <c r="K28" s="59" t="s">
        <v>98</v>
      </c>
      <c r="L28" s="57"/>
      <c r="M28" s="57"/>
      <c r="N28" s="57"/>
    </row>
    <row r="29" spans="1:20" s="54" customFormat="1" x14ac:dyDescent="0.25">
      <c r="A29" s="60">
        <v>27</v>
      </c>
      <c r="C29" s="61"/>
      <c r="E29" s="54" t="s">
        <v>341</v>
      </c>
      <c r="G29" s="57" t="s">
        <v>12</v>
      </c>
      <c r="H29" s="57" t="s">
        <v>13</v>
      </c>
      <c r="I29" s="57" t="s">
        <v>284</v>
      </c>
      <c r="J29" s="57" t="s">
        <v>166</v>
      </c>
      <c r="K29" s="59" t="s">
        <v>98</v>
      </c>
      <c r="L29" s="57"/>
      <c r="M29" s="57"/>
      <c r="N29" s="57"/>
    </row>
    <row r="30" spans="1:20" s="54" customFormat="1" x14ac:dyDescent="0.25">
      <c r="A30" s="60">
        <v>28</v>
      </c>
      <c r="C30" s="61"/>
      <c r="E30" s="54" t="s">
        <v>342</v>
      </c>
      <c r="G30" s="57" t="s">
        <v>12</v>
      </c>
      <c r="H30" s="57" t="s">
        <v>13</v>
      </c>
      <c r="I30" s="57" t="s">
        <v>284</v>
      </c>
      <c r="J30" s="57" t="s">
        <v>166</v>
      </c>
      <c r="K30" s="59" t="s">
        <v>98</v>
      </c>
      <c r="L30" s="57"/>
      <c r="M30" s="57"/>
      <c r="N30" s="57"/>
    </row>
    <row r="31" spans="1:20" s="54" customFormat="1" x14ac:dyDescent="0.25">
      <c r="A31" s="60">
        <v>29</v>
      </c>
      <c r="C31" s="61"/>
      <c r="E31" s="54" t="s">
        <v>343</v>
      </c>
      <c r="G31" s="57" t="s">
        <v>12</v>
      </c>
      <c r="H31" s="57" t="s">
        <v>13</v>
      </c>
      <c r="I31" s="57" t="s">
        <v>284</v>
      </c>
      <c r="J31" s="57" t="s">
        <v>166</v>
      </c>
      <c r="K31" s="59" t="s">
        <v>98</v>
      </c>
      <c r="L31" s="59" t="s">
        <v>26</v>
      </c>
      <c r="M31" s="54" t="s">
        <v>22</v>
      </c>
      <c r="N31" s="57"/>
    </row>
    <row r="32" spans="1:20" s="54" customFormat="1" x14ac:dyDescent="0.25">
      <c r="A32" s="290" t="s">
        <v>133</v>
      </c>
      <c r="B32" s="290"/>
      <c r="C32" s="290"/>
      <c r="D32" s="290"/>
      <c r="E32" s="290"/>
      <c r="F32" s="290"/>
      <c r="G32" s="290"/>
      <c r="H32" s="65"/>
      <c r="I32" s="65"/>
      <c r="J32" s="65"/>
      <c r="K32" s="66"/>
      <c r="L32" s="65"/>
      <c r="M32" s="65"/>
      <c r="N32" s="65"/>
      <c r="O32" s="65"/>
      <c r="P32" s="65"/>
      <c r="Q32" s="65"/>
      <c r="R32" s="65"/>
      <c r="S32" s="65"/>
      <c r="T32" s="65"/>
    </row>
    <row r="33" spans="1:20" s="54" customFormat="1" x14ac:dyDescent="0.25">
      <c r="A33" s="60">
        <v>1</v>
      </c>
      <c r="C33" s="61"/>
      <c r="E33" s="54" t="s">
        <v>344</v>
      </c>
      <c r="G33" s="57" t="s">
        <v>12</v>
      </c>
      <c r="H33" s="57" t="s">
        <v>13</v>
      </c>
      <c r="I33" s="57" t="s">
        <v>284</v>
      </c>
      <c r="J33" s="57" t="s">
        <v>345</v>
      </c>
      <c r="K33" s="59" t="s">
        <v>98</v>
      </c>
      <c r="L33" s="58" t="s">
        <v>16</v>
      </c>
      <c r="M33" s="57"/>
      <c r="N33" s="57" t="s">
        <v>31</v>
      </c>
      <c r="O33" s="54" t="s">
        <v>346</v>
      </c>
      <c r="P33" s="54" t="s">
        <v>347</v>
      </c>
      <c r="Q33" s="54" t="s">
        <v>348</v>
      </c>
      <c r="R33" s="54" t="s">
        <v>23</v>
      </c>
    </row>
    <row r="34" spans="1:20" s="54" customFormat="1" x14ac:dyDescent="0.25">
      <c r="A34" s="60">
        <v>2</v>
      </c>
      <c r="C34" s="61"/>
      <c r="E34" s="54" t="s">
        <v>45</v>
      </c>
      <c r="G34" s="57" t="s">
        <v>12</v>
      </c>
      <c r="H34" s="57" t="s">
        <v>13</v>
      </c>
      <c r="I34" s="57" t="s">
        <v>284</v>
      </c>
      <c r="J34" s="57" t="s">
        <v>345</v>
      </c>
      <c r="K34" s="59" t="s">
        <v>98</v>
      </c>
      <c r="L34" s="58" t="s">
        <v>16</v>
      </c>
      <c r="N34" s="57" t="s">
        <v>17</v>
      </c>
      <c r="O34" s="54" t="s">
        <v>349</v>
      </c>
      <c r="P34" s="54" t="s">
        <v>350</v>
      </c>
      <c r="Q34" s="54" t="s">
        <v>351</v>
      </c>
      <c r="R34" s="54" t="s">
        <v>20</v>
      </c>
    </row>
    <row r="35" spans="1:20" s="54" customFormat="1" x14ac:dyDescent="0.25">
      <c r="A35" s="60">
        <v>3</v>
      </c>
      <c r="C35" s="61"/>
      <c r="E35" s="54" t="s">
        <v>352</v>
      </c>
      <c r="G35" s="57" t="s">
        <v>12</v>
      </c>
      <c r="H35" s="57" t="s">
        <v>13</v>
      </c>
      <c r="I35" s="57" t="s">
        <v>284</v>
      </c>
      <c r="J35" s="57" t="s">
        <v>345</v>
      </c>
      <c r="K35" s="59" t="s">
        <v>98</v>
      </c>
      <c r="L35" s="58" t="s">
        <v>16</v>
      </c>
      <c r="M35" s="57"/>
      <c r="N35" s="57" t="s">
        <v>31</v>
      </c>
      <c r="O35" s="54" t="s">
        <v>353</v>
      </c>
      <c r="P35" s="54" t="s">
        <v>354</v>
      </c>
      <c r="Q35" s="54" t="s">
        <v>355</v>
      </c>
    </row>
    <row r="36" spans="1:20" s="54" customFormat="1" x14ac:dyDescent="0.25">
      <c r="A36" s="60">
        <v>4</v>
      </c>
      <c r="C36" s="61"/>
      <c r="E36" s="54" t="s">
        <v>79</v>
      </c>
      <c r="G36" s="57" t="s">
        <v>12</v>
      </c>
      <c r="H36" s="57" t="s">
        <v>13</v>
      </c>
      <c r="I36" s="57" t="s">
        <v>284</v>
      </c>
      <c r="J36" s="57" t="s">
        <v>345</v>
      </c>
      <c r="K36" s="59" t="s">
        <v>98</v>
      </c>
      <c r="L36" s="54" t="s">
        <v>43</v>
      </c>
      <c r="M36" s="57"/>
      <c r="N36" s="57"/>
    </row>
    <row r="37" spans="1:20" s="54" customFormat="1" x14ac:dyDescent="0.25">
      <c r="A37" s="60">
        <v>5</v>
      </c>
      <c r="C37" s="61"/>
      <c r="E37" s="54" t="s">
        <v>31</v>
      </c>
      <c r="G37" s="57" t="s">
        <v>12</v>
      </c>
      <c r="H37" s="57" t="s">
        <v>13</v>
      </c>
      <c r="I37" s="57" t="s">
        <v>284</v>
      </c>
      <c r="J37" s="57" t="s">
        <v>345</v>
      </c>
      <c r="K37" s="59" t="s">
        <v>98</v>
      </c>
      <c r="L37" s="58" t="s">
        <v>16</v>
      </c>
      <c r="M37" s="57"/>
      <c r="N37" s="57" t="s">
        <v>31</v>
      </c>
      <c r="O37" s="54" t="s">
        <v>356</v>
      </c>
      <c r="P37" s="54" t="s">
        <v>357</v>
      </c>
      <c r="Q37" s="54" t="s">
        <v>358</v>
      </c>
      <c r="R37" s="54" t="s">
        <v>23</v>
      </c>
    </row>
    <row r="38" spans="1:20" s="54" customFormat="1" x14ac:dyDescent="0.25">
      <c r="A38" s="60">
        <v>6</v>
      </c>
      <c r="C38" s="61"/>
      <c r="E38" s="54" t="s">
        <v>25</v>
      </c>
      <c r="G38" s="57" t="s">
        <v>12</v>
      </c>
      <c r="H38" s="57" t="s">
        <v>13</v>
      </c>
      <c r="I38" s="57" t="s">
        <v>284</v>
      </c>
      <c r="J38" s="57" t="s">
        <v>345</v>
      </c>
      <c r="K38" s="59" t="s">
        <v>98</v>
      </c>
      <c r="L38" s="54" t="s">
        <v>43</v>
      </c>
      <c r="M38" s="57"/>
      <c r="N38" s="57"/>
    </row>
    <row r="39" spans="1:20" s="54" customFormat="1" x14ac:dyDescent="0.25">
      <c r="A39" s="60">
        <v>7</v>
      </c>
      <c r="C39" s="61"/>
      <c r="E39" s="54" t="s">
        <v>25</v>
      </c>
      <c r="G39" s="57" t="s">
        <v>12</v>
      </c>
      <c r="H39" s="57" t="s">
        <v>13</v>
      </c>
      <c r="I39" s="57" t="s">
        <v>284</v>
      </c>
      <c r="J39" s="57" t="s">
        <v>345</v>
      </c>
      <c r="K39" s="59" t="s">
        <v>98</v>
      </c>
      <c r="L39" s="57"/>
      <c r="M39" s="57"/>
      <c r="N39" s="57"/>
    </row>
    <row r="40" spans="1:20" s="54" customFormat="1" x14ac:dyDescent="0.25">
      <c r="A40" s="60">
        <v>8</v>
      </c>
      <c r="C40" s="61"/>
      <c r="E40" s="54" t="s">
        <v>79</v>
      </c>
      <c r="G40" s="57" t="s">
        <v>12</v>
      </c>
      <c r="H40" s="57" t="s">
        <v>13</v>
      </c>
      <c r="I40" s="57" t="s">
        <v>284</v>
      </c>
      <c r="J40" s="57" t="s">
        <v>345</v>
      </c>
      <c r="K40" s="59" t="s">
        <v>98</v>
      </c>
      <c r="M40" s="57"/>
      <c r="N40" s="57"/>
    </row>
    <row r="41" spans="1:20" s="54" customFormat="1" x14ac:dyDescent="0.25">
      <c r="A41" s="60">
        <v>9</v>
      </c>
      <c r="C41" s="61"/>
      <c r="E41" s="54" t="s">
        <v>359</v>
      </c>
      <c r="G41" s="57" t="s">
        <v>12</v>
      </c>
      <c r="H41" s="57" t="s">
        <v>13</v>
      </c>
      <c r="I41" s="57" t="s">
        <v>284</v>
      </c>
      <c r="J41" s="57" t="s">
        <v>345</v>
      </c>
      <c r="K41" s="59" t="s">
        <v>98</v>
      </c>
      <c r="L41" s="57"/>
      <c r="M41" s="57"/>
      <c r="N41" s="57"/>
    </row>
    <row r="42" spans="1:20" s="54" customFormat="1" x14ac:dyDescent="0.25">
      <c r="A42" s="60">
        <v>10</v>
      </c>
      <c r="C42" s="61"/>
      <c r="G42" s="57" t="s">
        <v>12</v>
      </c>
      <c r="H42" s="57" t="s">
        <v>13</v>
      </c>
      <c r="I42" s="57" t="s">
        <v>284</v>
      </c>
      <c r="J42" s="57" t="s">
        <v>345</v>
      </c>
      <c r="K42" s="59" t="s">
        <v>98</v>
      </c>
      <c r="L42" s="57"/>
      <c r="M42" s="57"/>
      <c r="N42" s="57"/>
      <c r="O42" s="57"/>
      <c r="Q42" s="57"/>
      <c r="R42" s="57"/>
    </row>
    <row r="43" spans="1:20" s="54" customFormat="1" x14ac:dyDescent="0.25">
      <c r="A43" s="60">
        <v>11</v>
      </c>
      <c r="C43" s="61"/>
      <c r="E43" s="54" t="s">
        <v>31</v>
      </c>
      <c r="G43" s="57" t="s">
        <v>12</v>
      </c>
      <c r="H43" s="57" t="s">
        <v>13</v>
      </c>
      <c r="I43" s="57" t="s">
        <v>284</v>
      </c>
      <c r="J43" s="57" t="s">
        <v>345</v>
      </c>
      <c r="K43" s="59" t="s">
        <v>98</v>
      </c>
      <c r="M43" s="57"/>
      <c r="N43" s="57"/>
      <c r="O43" s="57"/>
      <c r="Q43" s="57"/>
      <c r="R43" s="57"/>
    </row>
    <row r="44" spans="1:20" s="54" customFormat="1" x14ac:dyDescent="0.25">
      <c r="A44" s="60">
        <v>12</v>
      </c>
      <c r="C44" s="61"/>
      <c r="E44" s="54" t="s">
        <v>360</v>
      </c>
      <c r="G44" s="57" t="s">
        <v>12</v>
      </c>
      <c r="H44" s="57" t="s">
        <v>13</v>
      </c>
      <c r="I44" s="57" t="s">
        <v>284</v>
      </c>
      <c r="J44" s="57" t="s">
        <v>345</v>
      </c>
      <c r="K44" s="59" t="s">
        <v>98</v>
      </c>
      <c r="L44" s="57"/>
      <c r="M44" s="57"/>
      <c r="N44" s="57"/>
      <c r="O44" s="57"/>
      <c r="Q44" s="57"/>
      <c r="R44" s="57"/>
    </row>
    <row r="45" spans="1:20" s="54" customFormat="1" x14ac:dyDescent="0.25">
      <c r="A45" s="292" t="s">
        <v>220</v>
      </c>
      <c r="B45" s="292"/>
      <c r="C45" s="292"/>
      <c r="D45" s="292"/>
      <c r="E45" s="292"/>
      <c r="F45" s="292"/>
      <c r="G45" s="292"/>
      <c r="H45" s="55"/>
      <c r="I45" s="55"/>
      <c r="J45" s="55"/>
      <c r="K45" s="74"/>
      <c r="L45" s="55"/>
      <c r="M45" s="55"/>
      <c r="N45" s="55"/>
      <c r="O45" s="55"/>
      <c r="P45" s="55"/>
      <c r="Q45" s="55"/>
      <c r="R45" s="55"/>
      <c r="S45" s="55"/>
      <c r="T45" s="55"/>
    </row>
    <row r="46" spans="1:20" s="54" customFormat="1" x14ac:dyDescent="0.25">
      <c r="A46" s="60">
        <v>1</v>
      </c>
      <c r="B46" s="75"/>
      <c r="C46" s="61"/>
      <c r="E46" s="54" t="s">
        <v>79</v>
      </c>
      <c r="G46" s="57" t="s">
        <v>12</v>
      </c>
      <c r="H46" s="57" t="s">
        <v>13</v>
      </c>
      <c r="I46" s="57" t="s">
        <v>284</v>
      </c>
      <c r="J46" s="57" t="s">
        <v>221</v>
      </c>
      <c r="K46" s="59" t="s">
        <v>98</v>
      </c>
      <c r="L46" s="57" t="s">
        <v>43</v>
      </c>
      <c r="M46" s="57"/>
      <c r="N46" s="76"/>
      <c r="S46" s="54" t="s">
        <v>20</v>
      </c>
      <c r="T46" s="54" t="s">
        <v>20</v>
      </c>
    </row>
    <row r="47" spans="1:20" s="54" customFormat="1" x14ac:dyDescent="0.25">
      <c r="A47" s="60">
        <v>2</v>
      </c>
      <c r="B47" s="75"/>
      <c r="C47" s="61"/>
      <c r="E47" s="54" t="s">
        <v>25</v>
      </c>
      <c r="G47" s="57" t="s">
        <v>12</v>
      </c>
      <c r="H47" s="57" t="s">
        <v>13</v>
      </c>
      <c r="I47" s="57" t="s">
        <v>284</v>
      </c>
      <c r="J47" s="57" t="s">
        <v>221</v>
      </c>
      <c r="K47" s="59" t="s">
        <v>98</v>
      </c>
      <c r="L47" s="58" t="s">
        <v>16</v>
      </c>
      <c r="M47" s="57"/>
      <c r="N47" s="57" t="s">
        <v>17</v>
      </c>
      <c r="O47" s="54" t="s">
        <v>202</v>
      </c>
      <c r="P47" s="54" t="s">
        <v>47</v>
      </c>
      <c r="Q47" s="54" t="s">
        <v>361</v>
      </c>
      <c r="R47" s="54" t="s">
        <v>20</v>
      </c>
    </row>
    <row r="48" spans="1:20" s="54" customFormat="1" x14ac:dyDescent="0.25">
      <c r="A48" s="60">
        <v>3</v>
      </c>
      <c r="B48" s="75"/>
      <c r="C48" s="61"/>
      <c r="E48" s="54" t="s">
        <v>198</v>
      </c>
      <c r="G48" s="57" t="s">
        <v>12</v>
      </c>
      <c r="H48" s="57" t="s">
        <v>13</v>
      </c>
      <c r="I48" s="57" t="s">
        <v>284</v>
      </c>
      <c r="J48" s="57" t="s">
        <v>221</v>
      </c>
      <c r="K48" s="59" t="s">
        <v>98</v>
      </c>
      <c r="L48" s="58" t="s">
        <v>16</v>
      </c>
      <c r="N48" s="57" t="s">
        <v>31</v>
      </c>
      <c r="O48" s="54" t="s">
        <v>362</v>
      </c>
      <c r="P48" s="54" t="s">
        <v>363</v>
      </c>
      <c r="Q48" s="54" t="s">
        <v>364</v>
      </c>
      <c r="R48" s="54" t="s">
        <v>20</v>
      </c>
    </row>
    <row r="49" spans="1:20" s="54" customFormat="1" x14ac:dyDescent="0.25">
      <c r="A49" s="60">
        <v>4</v>
      </c>
      <c r="B49" s="75"/>
      <c r="C49" s="61"/>
      <c r="E49" s="54" t="s">
        <v>365</v>
      </c>
      <c r="G49" s="57" t="s">
        <v>12</v>
      </c>
      <c r="H49" s="57" t="s">
        <v>13</v>
      </c>
      <c r="I49" s="57" t="s">
        <v>284</v>
      </c>
      <c r="J49" s="57" t="s">
        <v>221</v>
      </c>
      <c r="K49" s="59" t="s">
        <v>98</v>
      </c>
      <c r="L49" s="58" t="s">
        <v>16</v>
      </c>
      <c r="M49" s="57"/>
      <c r="N49" s="57" t="s">
        <v>31</v>
      </c>
      <c r="O49" s="54" t="s">
        <v>366</v>
      </c>
      <c r="P49" s="54" t="s">
        <v>367</v>
      </c>
      <c r="Q49" s="54" t="s">
        <v>368</v>
      </c>
      <c r="R49" s="54" t="s">
        <v>20</v>
      </c>
    </row>
    <row r="50" spans="1:20" s="54" customFormat="1" x14ac:dyDescent="0.25">
      <c r="A50" s="60">
        <v>5</v>
      </c>
      <c r="B50" s="75"/>
      <c r="C50" s="61"/>
      <c r="E50" s="54" t="s">
        <v>369</v>
      </c>
      <c r="G50" s="57" t="s">
        <v>12</v>
      </c>
      <c r="H50" s="57" t="s">
        <v>13</v>
      </c>
      <c r="I50" s="57" t="s">
        <v>284</v>
      </c>
      <c r="J50" s="57" t="s">
        <v>221</v>
      </c>
      <c r="K50" s="59" t="s">
        <v>98</v>
      </c>
      <c r="L50" s="58" t="s">
        <v>16</v>
      </c>
      <c r="M50" s="57"/>
      <c r="N50" s="57" t="s">
        <v>31</v>
      </c>
      <c r="O50" s="54" t="s">
        <v>370</v>
      </c>
      <c r="P50" s="54" t="s">
        <v>54</v>
      </c>
      <c r="Q50" s="54" t="s">
        <v>371</v>
      </c>
      <c r="R50" s="54" t="s">
        <v>20</v>
      </c>
    </row>
    <row r="51" spans="1:20" s="54" customFormat="1" x14ac:dyDescent="0.25">
      <c r="A51" s="60">
        <v>6</v>
      </c>
      <c r="B51" s="75"/>
      <c r="C51" s="61"/>
      <c r="E51" s="54" t="s">
        <v>372</v>
      </c>
      <c r="G51" s="57" t="s">
        <v>12</v>
      </c>
      <c r="H51" s="57" t="s">
        <v>13</v>
      </c>
      <c r="I51" s="57" t="s">
        <v>284</v>
      </c>
      <c r="J51" s="57" t="s">
        <v>221</v>
      </c>
      <c r="K51" s="59" t="s">
        <v>98</v>
      </c>
      <c r="L51" s="58" t="s">
        <v>16</v>
      </c>
      <c r="M51" s="57"/>
      <c r="N51" s="57" t="s">
        <v>31</v>
      </c>
      <c r="O51" s="54" t="s">
        <v>373</v>
      </c>
      <c r="P51" s="54" t="s">
        <v>47</v>
      </c>
      <c r="Q51" s="54" t="s">
        <v>217</v>
      </c>
      <c r="R51" s="54" t="s">
        <v>20</v>
      </c>
    </row>
    <row r="52" spans="1:20" s="54" customFormat="1" x14ac:dyDescent="0.25">
      <c r="A52" s="60">
        <v>7</v>
      </c>
      <c r="B52" s="75"/>
      <c r="C52" s="61"/>
      <c r="E52" s="54" t="s">
        <v>374</v>
      </c>
      <c r="G52" s="57" t="s">
        <v>12</v>
      </c>
      <c r="H52" s="57" t="s">
        <v>13</v>
      </c>
      <c r="I52" s="57" t="s">
        <v>284</v>
      </c>
      <c r="J52" s="57" t="s">
        <v>221</v>
      </c>
      <c r="K52" s="59" t="s">
        <v>98</v>
      </c>
      <c r="L52" s="58" t="s">
        <v>16</v>
      </c>
      <c r="M52" s="57"/>
      <c r="N52" s="57" t="s">
        <v>31</v>
      </c>
      <c r="O52" s="54" t="s">
        <v>375</v>
      </c>
      <c r="P52" s="54" t="s">
        <v>376</v>
      </c>
      <c r="Q52" s="54" t="s">
        <v>377</v>
      </c>
      <c r="R52" s="54" t="s">
        <v>20</v>
      </c>
    </row>
    <row r="53" spans="1:20" s="54" customFormat="1" x14ac:dyDescent="0.25">
      <c r="A53" s="60">
        <v>8</v>
      </c>
      <c r="B53" s="75"/>
      <c r="C53" s="61"/>
      <c r="E53" s="54" t="s">
        <v>378</v>
      </c>
      <c r="G53" s="57" t="s">
        <v>12</v>
      </c>
      <c r="H53" s="57" t="s">
        <v>13</v>
      </c>
      <c r="I53" s="57" t="s">
        <v>284</v>
      </c>
      <c r="J53" s="57" t="s">
        <v>221</v>
      </c>
      <c r="K53" s="59" t="s">
        <v>98</v>
      </c>
      <c r="L53" s="57" t="s">
        <v>43</v>
      </c>
      <c r="M53" s="57"/>
      <c r="N53" s="77"/>
      <c r="S53" s="54" t="s">
        <v>20</v>
      </c>
      <c r="T53" s="54" t="s">
        <v>20</v>
      </c>
    </row>
    <row r="54" spans="1:20" s="54" customFormat="1" x14ac:dyDescent="0.25">
      <c r="A54" s="60">
        <v>9</v>
      </c>
      <c r="B54" s="75"/>
      <c r="C54" s="61"/>
      <c r="E54" s="54" t="s">
        <v>379</v>
      </c>
      <c r="G54" s="57" t="s">
        <v>12</v>
      </c>
      <c r="H54" s="57" t="s">
        <v>13</v>
      </c>
      <c r="I54" s="57" t="s">
        <v>284</v>
      </c>
      <c r="J54" s="57" t="s">
        <v>221</v>
      </c>
      <c r="K54" s="59" t="s">
        <v>98</v>
      </c>
      <c r="L54" s="58" t="s">
        <v>16</v>
      </c>
      <c r="M54" s="57"/>
      <c r="N54" s="57" t="s">
        <v>380</v>
      </c>
      <c r="P54" s="54" t="s">
        <v>381</v>
      </c>
      <c r="Q54" s="54" t="s">
        <v>382</v>
      </c>
      <c r="R54" s="54" t="s">
        <v>20</v>
      </c>
    </row>
    <row r="55" spans="1:20" s="54" customFormat="1" x14ac:dyDescent="0.25">
      <c r="A55" s="60">
        <v>10</v>
      </c>
      <c r="C55" s="61"/>
      <c r="E55" s="54" t="s">
        <v>383</v>
      </c>
      <c r="G55" s="57" t="s">
        <v>12</v>
      </c>
      <c r="H55" s="57" t="s">
        <v>13</v>
      </c>
      <c r="I55" s="57" t="s">
        <v>284</v>
      </c>
      <c r="J55" s="57" t="s">
        <v>221</v>
      </c>
      <c r="K55" s="59" t="s">
        <v>98</v>
      </c>
      <c r="L55" s="57"/>
      <c r="M55" s="57"/>
    </row>
    <row r="56" spans="1:20" s="54" customFormat="1" x14ac:dyDescent="0.25">
      <c r="A56" s="60">
        <v>11</v>
      </c>
      <c r="C56" s="61"/>
      <c r="E56" s="54" t="s">
        <v>384</v>
      </c>
      <c r="G56" s="57" t="s">
        <v>12</v>
      </c>
      <c r="H56" s="57" t="s">
        <v>13</v>
      </c>
      <c r="I56" s="57" t="s">
        <v>284</v>
      </c>
      <c r="J56" s="57" t="s">
        <v>221</v>
      </c>
      <c r="K56" s="59" t="s">
        <v>98</v>
      </c>
      <c r="L56" s="57"/>
      <c r="M56" s="57"/>
    </row>
    <row r="57" spans="1:20" s="54" customFormat="1" x14ac:dyDescent="0.25">
      <c r="A57" s="290" t="s">
        <v>218</v>
      </c>
      <c r="B57" s="290"/>
      <c r="C57" s="290"/>
      <c r="D57" s="290"/>
      <c r="E57" s="290"/>
      <c r="F57" s="290"/>
      <c r="G57" s="290"/>
      <c r="H57" s="65"/>
      <c r="I57" s="65"/>
      <c r="J57" s="65"/>
      <c r="K57" s="66"/>
      <c r="L57" s="65"/>
      <c r="M57" s="65"/>
      <c r="N57" s="65"/>
      <c r="O57" s="65"/>
      <c r="P57" s="65"/>
      <c r="Q57" s="65"/>
      <c r="R57" s="65"/>
      <c r="S57" s="65"/>
      <c r="T57" s="65"/>
    </row>
    <row r="58" spans="1:20" s="54" customFormat="1" x14ac:dyDescent="0.25">
      <c r="A58" s="60">
        <v>1</v>
      </c>
      <c r="C58" s="61"/>
      <c r="E58" s="54" t="s">
        <v>385</v>
      </c>
      <c r="G58" s="57" t="s">
        <v>12</v>
      </c>
      <c r="H58" s="57" t="s">
        <v>13</v>
      </c>
      <c r="I58" s="57" t="s">
        <v>284</v>
      </c>
      <c r="J58" s="57" t="s">
        <v>277</v>
      </c>
      <c r="K58" s="59" t="s">
        <v>98</v>
      </c>
      <c r="L58" s="58" t="s">
        <v>67</v>
      </c>
    </row>
    <row r="59" spans="1:20" s="54" customFormat="1" x14ac:dyDescent="0.25">
      <c r="A59" s="60">
        <v>2</v>
      </c>
      <c r="C59" s="61"/>
      <c r="E59" s="54" t="s">
        <v>25</v>
      </c>
      <c r="G59" s="57" t="s">
        <v>12</v>
      </c>
      <c r="H59" s="57" t="s">
        <v>13</v>
      </c>
      <c r="I59" s="57" t="s">
        <v>284</v>
      </c>
      <c r="J59" s="57" t="s">
        <v>277</v>
      </c>
      <c r="K59" s="59" t="s">
        <v>98</v>
      </c>
      <c r="L59" s="59" t="s">
        <v>26</v>
      </c>
      <c r="M59" s="54" t="s">
        <v>22</v>
      </c>
    </row>
    <row r="60" spans="1:20" s="54" customFormat="1" x14ac:dyDescent="0.25">
      <c r="A60" s="60">
        <v>3</v>
      </c>
      <c r="C60" s="61"/>
      <c r="E60" s="54" t="s">
        <v>386</v>
      </c>
      <c r="G60" s="57" t="s">
        <v>12</v>
      </c>
      <c r="H60" s="57" t="s">
        <v>13</v>
      </c>
      <c r="I60" s="57" t="s">
        <v>284</v>
      </c>
      <c r="J60" s="57" t="s">
        <v>277</v>
      </c>
      <c r="K60" s="59" t="s">
        <v>98</v>
      </c>
      <c r="L60" s="59" t="s">
        <v>26</v>
      </c>
      <c r="M60" s="54" t="s">
        <v>22</v>
      </c>
    </row>
    <row r="61" spans="1:20" s="54" customFormat="1" x14ac:dyDescent="0.25">
      <c r="A61" s="60">
        <v>4</v>
      </c>
      <c r="C61" s="61"/>
      <c r="E61" s="54" t="s">
        <v>387</v>
      </c>
      <c r="G61" s="57" t="s">
        <v>12</v>
      </c>
      <c r="H61" s="57" t="s">
        <v>13</v>
      </c>
      <c r="I61" s="57" t="s">
        <v>284</v>
      </c>
      <c r="J61" s="57" t="s">
        <v>277</v>
      </c>
      <c r="K61" s="59" t="s">
        <v>98</v>
      </c>
    </row>
    <row r="62" spans="1:20" s="54" customFormat="1" x14ac:dyDescent="0.25">
      <c r="A62" s="60">
        <v>5</v>
      </c>
      <c r="C62" s="61"/>
      <c r="E62" s="54" t="s">
        <v>25</v>
      </c>
      <c r="G62" s="57" t="s">
        <v>12</v>
      </c>
      <c r="H62" s="57" t="s">
        <v>13</v>
      </c>
      <c r="I62" s="57" t="s">
        <v>284</v>
      </c>
      <c r="J62" s="57" t="s">
        <v>277</v>
      </c>
      <c r="K62" s="59" t="s">
        <v>98</v>
      </c>
    </row>
    <row r="63" spans="1:20" s="54" customFormat="1" x14ac:dyDescent="0.25">
      <c r="A63" s="60">
        <v>6</v>
      </c>
      <c r="C63" s="61"/>
      <c r="E63" s="54" t="s">
        <v>25</v>
      </c>
      <c r="G63" s="57" t="s">
        <v>12</v>
      </c>
      <c r="H63" s="57" t="s">
        <v>13</v>
      </c>
      <c r="I63" s="57" t="s">
        <v>284</v>
      </c>
      <c r="J63" s="57" t="s">
        <v>277</v>
      </c>
      <c r="K63" s="59" t="s">
        <v>98</v>
      </c>
    </row>
    <row r="64" spans="1:20" s="54" customFormat="1" x14ac:dyDescent="0.25">
      <c r="A64" s="60">
        <v>7</v>
      </c>
      <c r="C64" s="61"/>
      <c r="E64" s="54" t="s">
        <v>388</v>
      </c>
      <c r="G64" s="57" t="s">
        <v>12</v>
      </c>
      <c r="H64" s="57" t="s">
        <v>13</v>
      </c>
      <c r="I64" s="57" t="s">
        <v>284</v>
      </c>
      <c r="J64" s="57" t="s">
        <v>277</v>
      </c>
      <c r="K64" s="59" t="s">
        <v>98</v>
      </c>
    </row>
    <row r="65" spans="1:20" s="54" customFormat="1" x14ac:dyDescent="0.25">
      <c r="A65" s="60">
        <v>8</v>
      </c>
      <c r="C65" s="61"/>
      <c r="E65" s="54" t="s">
        <v>25</v>
      </c>
      <c r="G65" s="57" t="s">
        <v>12</v>
      </c>
      <c r="H65" s="57" t="s">
        <v>13</v>
      </c>
      <c r="I65" s="57" t="s">
        <v>284</v>
      </c>
      <c r="J65" s="57" t="s">
        <v>277</v>
      </c>
      <c r="K65" s="59" t="s">
        <v>98</v>
      </c>
      <c r="L65" s="58" t="s">
        <v>26</v>
      </c>
      <c r="M65" s="54" t="s">
        <v>22</v>
      </c>
    </row>
    <row r="66" spans="1:20" s="54" customFormat="1" x14ac:dyDescent="0.25">
      <c r="A66" s="60">
        <v>9</v>
      </c>
      <c r="C66" s="61"/>
      <c r="E66" s="54" t="s">
        <v>389</v>
      </c>
      <c r="G66" s="57" t="s">
        <v>12</v>
      </c>
      <c r="H66" s="57" t="s">
        <v>13</v>
      </c>
      <c r="I66" s="57" t="s">
        <v>284</v>
      </c>
      <c r="J66" s="57" t="s">
        <v>277</v>
      </c>
      <c r="K66" s="59" t="s">
        <v>98</v>
      </c>
      <c r="L66" s="58" t="s">
        <v>30</v>
      </c>
      <c r="M66" s="54" t="s">
        <v>22</v>
      </c>
      <c r="N66" s="54" t="s">
        <v>390</v>
      </c>
      <c r="O66" s="53" t="s">
        <v>391</v>
      </c>
      <c r="Q66" s="54" t="s">
        <v>392</v>
      </c>
      <c r="R66" s="54" t="s">
        <v>23</v>
      </c>
      <c r="S66" s="54" t="s">
        <v>20</v>
      </c>
      <c r="T66" s="54" t="s">
        <v>20</v>
      </c>
    </row>
    <row r="67" spans="1:20" s="54" customFormat="1" x14ac:dyDescent="0.25">
      <c r="A67" s="60">
        <v>10</v>
      </c>
      <c r="C67" s="61"/>
      <c r="E67" s="54" t="s">
        <v>25</v>
      </c>
      <c r="G67" s="57" t="s">
        <v>12</v>
      </c>
      <c r="H67" s="57" t="s">
        <v>13</v>
      </c>
      <c r="I67" s="57" t="s">
        <v>284</v>
      </c>
      <c r="J67" s="57" t="s">
        <v>277</v>
      </c>
      <c r="K67" s="59" t="s">
        <v>98</v>
      </c>
      <c r="L67" s="58" t="s">
        <v>26</v>
      </c>
      <c r="M67" s="54" t="s">
        <v>22</v>
      </c>
    </row>
    <row r="68" spans="1:20" s="54" customFormat="1" x14ac:dyDescent="0.25">
      <c r="A68" s="60">
        <v>11</v>
      </c>
      <c r="C68" s="61"/>
      <c r="E68" s="54" t="s">
        <v>25</v>
      </c>
      <c r="G68" s="57" t="s">
        <v>12</v>
      </c>
      <c r="H68" s="57" t="s">
        <v>13</v>
      </c>
      <c r="I68" s="57" t="s">
        <v>284</v>
      </c>
      <c r="J68" s="57" t="s">
        <v>277</v>
      </c>
      <c r="K68" s="59" t="s">
        <v>98</v>
      </c>
    </row>
    <row r="69" spans="1:20" s="54" customFormat="1" x14ac:dyDescent="0.25">
      <c r="A69" s="60">
        <v>12</v>
      </c>
      <c r="C69" s="61"/>
      <c r="G69" s="57" t="s">
        <v>12</v>
      </c>
      <c r="H69" s="57" t="s">
        <v>13</v>
      </c>
      <c r="I69" s="57" t="s">
        <v>284</v>
      </c>
      <c r="J69" s="57" t="s">
        <v>277</v>
      </c>
      <c r="K69" s="59" t="s">
        <v>98</v>
      </c>
    </row>
    <row r="70" spans="1:20" s="54" customFormat="1" x14ac:dyDescent="0.25">
      <c r="A70" s="60">
        <v>13</v>
      </c>
      <c r="C70" s="61"/>
      <c r="G70" s="57" t="s">
        <v>12</v>
      </c>
      <c r="H70" s="57" t="s">
        <v>13</v>
      </c>
      <c r="I70" s="57" t="s">
        <v>284</v>
      </c>
      <c r="J70" s="57" t="s">
        <v>277</v>
      </c>
      <c r="K70" s="59" t="s">
        <v>98</v>
      </c>
    </row>
    <row r="71" spans="1:20" s="54" customFormat="1" x14ac:dyDescent="0.25">
      <c r="A71" s="60">
        <v>14</v>
      </c>
      <c r="C71" s="61"/>
      <c r="G71" s="57" t="s">
        <v>12</v>
      </c>
      <c r="H71" s="57" t="s">
        <v>13</v>
      </c>
      <c r="I71" s="57" t="s">
        <v>284</v>
      </c>
      <c r="J71" s="57" t="s">
        <v>277</v>
      </c>
      <c r="K71" s="59" t="s">
        <v>98</v>
      </c>
    </row>
    <row r="72" spans="1:20" s="54" customFormat="1" x14ac:dyDescent="0.25">
      <c r="A72" s="60">
        <v>15</v>
      </c>
      <c r="C72" s="61"/>
      <c r="E72" s="54" t="s">
        <v>25</v>
      </c>
      <c r="G72" s="57" t="s">
        <v>12</v>
      </c>
      <c r="H72" s="57" t="s">
        <v>13</v>
      </c>
      <c r="I72" s="57" t="s">
        <v>284</v>
      </c>
      <c r="J72" s="57" t="s">
        <v>277</v>
      </c>
      <c r="K72" s="59" t="s">
        <v>98</v>
      </c>
      <c r="L72" s="58" t="s">
        <v>26</v>
      </c>
      <c r="M72" s="54" t="s">
        <v>22</v>
      </c>
    </row>
    <row r="73" spans="1:20" s="54" customFormat="1" x14ac:dyDescent="0.25">
      <c r="A73" s="60">
        <v>16</v>
      </c>
      <c r="C73" s="61"/>
      <c r="E73" s="54" t="s">
        <v>25</v>
      </c>
      <c r="G73" s="57" t="s">
        <v>12</v>
      </c>
      <c r="H73" s="57" t="s">
        <v>13</v>
      </c>
      <c r="I73" s="57" t="s">
        <v>284</v>
      </c>
      <c r="J73" s="57" t="s">
        <v>277</v>
      </c>
      <c r="K73" s="59" t="s">
        <v>98</v>
      </c>
    </row>
    <row r="74" spans="1:20" s="54" customFormat="1" x14ac:dyDescent="0.25">
      <c r="A74" s="290" t="s">
        <v>240</v>
      </c>
      <c r="B74" s="290"/>
      <c r="C74" s="290"/>
      <c r="D74" s="290"/>
      <c r="E74" s="290"/>
      <c r="F74" s="290"/>
      <c r="G74" s="290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</row>
    <row r="75" spans="1:20" s="54" customFormat="1" x14ac:dyDescent="0.25">
      <c r="A75" s="60">
        <v>1</v>
      </c>
      <c r="C75" s="61"/>
      <c r="E75" s="54" t="s">
        <v>25</v>
      </c>
      <c r="G75" s="57" t="s">
        <v>12</v>
      </c>
      <c r="H75" s="54" t="s">
        <v>177</v>
      </c>
      <c r="I75" s="57" t="s">
        <v>284</v>
      </c>
      <c r="J75" s="61" t="s">
        <v>345</v>
      </c>
      <c r="K75" s="59" t="s">
        <v>98</v>
      </c>
      <c r="L75" s="54" t="s">
        <v>393</v>
      </c>
    </row>
    <row r="76" spans="1:20" s="54" customFormat="1" x14ac:dyDescent="0.25">
      <c r="A76" s="60">
        <v>2</v>
      </c>
      <c r="C76" s="61"/>
      <c r="E76" s="54" t="s">
        <v>183</v>
      </c>
      <c r="G76" s="57" t="s">
        <v>12</v>
      </c>
      <c r="H76" s="54" t="s">
        <v>177</v>
      </c>
      <c r="I76" s="57" t="s">
        <v>284</v>
      </c>
      <c r="J76" s="61" t="s">
        <v>345</v>
      </c>
      <c r="K76" s="59" t="s">
        <v>98</v>
      </c>
      <c r="L76" s="54" t="s">
        <v>394</v>
      </c>
    </row>
    <row r="77" spans="1:20" s="54" customFormat="1" x14ac:dyDescent="0.25">
      <c r="A77" s="60">
        <v>3</v>
      </c>
      <c r="C77" s="61"/>
      <c r="E77" s="54" t="s">
        <v>215</v>
      </c>
      <c r="G77" s="57" t="s">
        <v>12</v>
      </c>
      <c r="H77" s="54" t="s">
        <v>177</v>
      </c>
      <c r="I77" s="57" t="s">
        <v>284</v>
      </c>
      <c r="J77" s="61" t="s">
        <v>345</v>
      </c>
      <c r="K77" s="59" t="s">
        <v>98</v>
      </c>
      <c r="L77" s="58" t="s">
        <v>16</v>
      </c>
      <c r="N77" s="54" t="s">
        <v>31</v>
      </c>
      <c r="O77" s="54" t="s">
        <v>395</v>
      </c>
      <c r="P77" s="54" t="s">
        <v>396</v>
      </c>
      <c r="Q77" s="54" t="s">
        <v>397</v>
      </c>
      <c r="R77" s="54" t="s">
        <v>20</v>
      </c>
    </row>
    <row r="78" spans="1:20" s="54" customFormat="1" x14ac:dyDescent="0.25">
      <c r="A78" s="60">
        <v>4</v>
      </c>
      <c r="C78" s="61"/>
      <c r="E78" s="54" t="s">
        <v>215</v>
      </c>
      <c r="G78" s="57" t="s">
        <v>12</v>
      </c>
      <c r="H78" s="54" t="s">
        <v>177</v>
      </c>
      <c r="I78" s="57" t="s">
        <v>284</v>
      </c>
      <c r="J78" s="61" t="s">
        <v>345</v>
      </c>
      <c r="K78" s="59" t="s">
        <v>98</v>
      </c>
      <c r="L78" s="58" t="s">
        <v>16</v>
      </c>
      <c r="O78" s="54" t="s">
        <v>398</v>
      </c>
      <c r="P78" s="54" t="s">
        <v>399</v>
      </c>
      <c r="Q78" s="54" t="s">
        <v>400</v>
      </c>
      <c r="R78" s="54" t="s">
        <v>23</v>
      </c>
    </row>
    <row r="79" spans="1:20" s="54" customFormat="1" x14ac:dyDescent="0.25">
      <c r="A79" s="60">
        <v>5</v>
      </c>
      <c r="C79" s="61"/>
      <c r="E79" s="54" t="s">
        <v>401</v>
      </c>
      <c r="G79" s="57" t="s">
        <v>12</v>
      </c>
      <c r="H79" s="54" t="s">
        <v>177</v>
      </c>
      <c r="I79" s="57" t="s">
        <v>284</v>
      </c>
      <c r="J79" s="61" t="s">
        <v>345</v>
      </c>
      <c r="K79" s="59" t="s">
        <v>98</v>
      </c>
      <c r="L79" s="58" t="s">
        <v>16</v>
      </c>
      <c r="N79" s="54" t="s">
        <v>31</v>
      </c>
      <c r="P79" s="54" t="s">
        <v>402</v>
      </c>
      <c r="R79" s="54" t="s">
        <v>23</v>
      </c>
    </row>
    <row r="80" spans="1:20" s="54" customFormat="1" x14ac:dyDescent="0.25">
      <c r="A80" s="60">
        <v>6</v>
      </c>
      <c r="C80" s="61"/>
      <c r="E80" s="54" t="s">
        <v>25</v>
      </c>
      <c r="G80" s="57" t="s">
        <v>12</v>
      </c>
      <c r="H80" s="54" t="s">
        <v>177</v>
      </c>
      <c r="I80" s="57" t="s">
        <v>284</v>
      </c>
      <c r="J80" s="61" t="s">
        <v>345</v>
      </c>
      <c r="K80" s="59" t="s">
        <v>98</v>
      </c>
      <c r="L80" s="58" t="s">
        <v>16</v>
      </c>
      <c r="N80" s="54" t="s">
        <v>17</v>
      </c>
      <c r="O80" s="54" t="s">
        <v>403</v>
      </c>
      <c r="P80" s="54" t="s">
        <v>404</v>
      </c>
      <c r="Q80" s="54" t="s">
        <v>265</v>
      </c>
      <c r="R80" s="54" t="s">
        <v>20</v>
      </c>
    </row>
    <row r="81" spans="1:20" s="54" customFormat="1" x14ac:dyDescent="0.25">
      <c r="A81" s="60">
        <v>7</v>
      </c>
      <c r="C81" s="61"/>
      <c r="E81" s="54" t="s">
        <v>39</v>
      </c>
      <c r="G81" s="57" t="s">
        <v>12</v>
      </c>
      <c r="H81" s="54" t="s">
        <v>177</v>
      </c>
      <c r="I81" s="57" t="s">
        <v>284</v>
      </c>
      <c r="J81" s="61" t="s">
        <v>345</v>
      </c>
      <c r="K81" s="59" t="s">
        <v>98</v>
      </c>
      <c r="L81" s="58" t="s">
        <v>16</v>
      </c>
      <c r="N81" s="54" t="s">
        <v>40</v>
      </c>
      <c r="P81" s="54" t="s">
        <v>93</v>
      </c>
      <c r="R81" s="54" t="s">
        <v>23</v>
      </c>
    </row>
    <row r="82" spans="1:20" s="54" customFormat="1" x14ac:dyDescent="0.25">
      <c r="A82" s="60">
        <v>8</v>
      </c>
      <c r="C82" s="61"/>
      <c r="E82" s="54" t="s">
        <v>405</v>
      </c>
      <c r="G82" s="57" t="s">
        <v>12</v>
      </c>
      <c r="H82" s="54" t="s">
        <v>177</v>
      </c>
      <c r="I82" s="57" t="s">
        <v>284</v>
      </c>
      <c r="J82" s="61" t="s">
        <v>345</v>
      </c>
      <c r="K82" s="59" t="s">
        <v>98</v>
      </c>
      <c r="L82" s="58" t="s">
        <v>16</v>
      </c>
      <c r="N82" s="54" t="s">
        <v>31</v>
      </c>
      <c r="O82" s="54" t="s">
        <v>122</v>
      </c>
      <c r="P82" s="54" t="s">
        <v>406</v>
      </c>
      <c r="Q82" s="54" t="s">
        <v>407</v>
      </c>
      <c r="R82" s="54" t="s">
        <v>20</v>
      </c>
    </row>
    <row r="83" spans="1:20" s="54" customFormat="1" x14ac:dyDescent="0.25">
      <c r="A83" s="60">
        <v>9</v>
      </c>
      <c r="C83" s="61"/>
      <c r="E83" s="54" t="s">
        <v>408</v>
      </c>
      <c r="G83" s="57" t="s">
        <v>12</v>
      </c>
      <c r="H83" s="54" t="s">
        <v>177</v>
      </c>
      <c r="I83" s="57" t="s">
        <v>284</v>
      </c>
      <c r="J83" s="61" t="s">
        <v>345</v>
      </c>
      <c r="K83" s="59" t="s">
        <v>98</v>
      </c>
      <c r="L83" s="58" t="s">
        <v>16</v>
      </c>
      <c r="N83" s="54" t="s">
        <v>31</v>
      </c>
      <c r="O83" s="54" t="s">
        <v>409</v>
      </c>
      <c r="P83" s="54" t="s">
        <v>410</v>
      </c>
      <c r="Q83" s="54" t="s">
        <v>411</v>
      </c>
      <c r="R83" s="54" t="s">
        <v>23</v>
      </c>
    </row>
    <row r="84" spans="1:20" s="54" customFormat="1" x14ac:dyDescent="0.25">
      <c r="A84" s="60">
        <v>10</v>
      </c>
      <c r="C84" s="61"/>
      <c r="E84" s="54" t="s">
        <v>215</v>
      </c>
      <c r="G84" s="57" t="s">
        <v>12</v>
      </c>
      <c r="H84" s="54" t="s">
        <v>177</v>
      </c>
      <c r="I84" s="57" t="s">
        <v>284</v>
      </c>
      <c r="J84" s="61" t="s">
        <v>345</v>
      </c>
      <c r="K84" s="59" t="s">
        <v>98</v>
      </c>
      <c r="S84" s="61"/>
    </row>
    <row r="85" spans="1:20" s="54" customFormat="1" x14ac:dyDescent="0.25">
      <c r="A85" s="60">
        <v>11</v>
      </c>
      <c r="C85" s="61"/>
      <c r="E85" s="54" t="s">
        <v>215</v>
      </c>
      <c r="G85" s="57" t="s">
        <v>12</v>
      </c>
      <c r="H85" s="54" t="s">
        <v>177</v>
      </c>
      <c r="I85" s="57" t="s">
        <v>284</v>
      </c>
      <c r="J85" s="61" t="s">
        <v>345</v>
      </c>
      <c r="K85" s="59" t="s">
        <v>98</v>
      </c>
      <c r="S85" s="61"/>
    </row>
    <row r="86" spans="1:20" s="54" customFormat="1" x14ac:dyDescent="0.25">
      <c r="A86" s="60">
        <v>12</v>
      </c>
      <c r="C86" s="61"/>
      <c r="G86" s="57" t="s">
        <v>12</v>
      </c>
      <c r="H86" s="54" t="s">
        <v>177</v>
      </c>
      <c r="I86" s="57" t="s">
        <v>284</v>
      </c>
      <c r="J86" s="61" t="s">
        <v>345</v>
      </c>
      <c r="K86" s="59" t="s">
        <v>98</v>
      </c>
      <c r="S86" s="61"/>
    </row>
    <row r="87" spans="1:20" s="54" customFormat="1" x14ac:dyDescent="0.25">
      <c r="A87" s="60">
        <v>13</v>
      </c>
      <c r="C87" s="61"/>
      <c r="E87" s="54" t="s">
        <v>25</v>
      </c>
      <c r="G87" s="57" t="s">
        <v>12</v>
      </c>
      <c r="H87" s="54" t="s">
        <v>177</v>
      </c>
      <c r="I87" s="57" t="s">
        <v>284</v>
      </c>
      <c r="J87" s="61" t="s">
        <v>345</v>
      </c>
      <c r="K87" s="59" t="s">
        <v>98</v>
      </c>
      <c r="S87" s="61"/>
    </row>
    <row r="88" spans="1:20" s="54" customFormat="1" x14ac:dyDescent="0.25">
      <c r="A88" s="291" t="s">
        <v>283</v>
      </c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</row>
    <row r="89" spans="1:20" s="54" customFormat="1" x14ac:dyDescent="0.25">
      <c r="A89" s="292" t="s">
        <v>502</v>
      </c>
      <c r="B89" s="292"/>
      <c r="C89" s="292"/>
      <c r="D89" s="292"/>
      <c r="E89" s="292"/>
      <c r="F89" s="292"/>
      <c r="G89" s="292"/>
      <c r="H89" s="67"/>
      <c r="I89" s="67"/>
      <c r="J89" s="67"/>
      <c r="K89" s="67"/>
      <c r="L89" s="67"/>
      <c r="M89" s="67"/>
      <c r="N89" s="68"/>
      <c r="O89" s="67"/>
      <c r="P89" s="69"/>
      <c r="Q89" s="67"/>
      <c r="R89" s="69"/>
      <c r="S89" s="67"/>
      <c r="T89" s="67"/>
    </row>
    <row r="90" spans="1:20" s="54" customFormat="1" x14ac:dyDescent="0.25">
      <c r="A90" s="70">
        <v>1</v>
      </c>
      <c r="D90" s="61"/>
      <c r="E90" s="54" t="s">
        <v>66</v>
      </c>
      <c r="G90" s="54" t="s">
        <v>12</v>
      </c>
      <c r="H90" s="54" t="s">
        <v>127</v>
      </c>
      <c r="I90" s="54" t="s">
        <v>284</v>
      </c>
      <c r="J90" s="54" t="s">
        <v>503</v>
      </c>
      <c r="K90" s="58" t="s">
        <v>98</v>
      </c>
      <c r="L90" s="58" t="s">
        <v>16</v>
      </c>
      <c r="N90" s="54" t="s">
        <v>531</v>
      </c>
      <c r="O90" s="60" t="s">
        <v>532</v>
      </c>
      <c r="P90" s="61"/>
      <c r="Q90" s="54" t="s">
        <v>533</v>
      </c>
      <c r="R90" s="61" t="s">
        <v>20</v>
      </c>
      <c r="S90" s="54" t="s">
        <v>20</v>
      </c>
      <c r="T90" s="54" t="s">
        <v>20</v>
      </c>
    </row>
    <row r="91" spans="1:20" s="54" customFormat="1" x14ac:dyDescent="0.25">
      <c r="A91" s="70">
        <v>2</v>
      </c>
      <c r="E91" s="54" t="s">
        <v>31</v>
      </c>
      <c r="G91" s="54" t="s">
        <v>12</v>
      </c>
      <c r="H91" s="54" t="s">
        <v>127</v>
      </c>
      <c r="I91" s="54" t="s">
        <v>284</v>
      </c>
      <c r="J91" s="54" t="s">
        <v>503</v>
      </c>
      <c r="K91" s="58" t="s">
        <v>98</v>
      </c>
      <c r="L91" s="54" t="s">
        <v>394</v>
      </c>
      <c r="O91" s="60"/>
      <c r="P91" s="61"/>
      <c r="R91" s="61" t="s">
        <v>20</v>
      </c>
      <c r="S91" s="54" t="s">
        <v>20</v>
      </c>
      <c r="T91" s="54" t="s">
        <v>20</v>
      </c>
    </row>
    <row r="92" spans="1:20" s="54" customFormat="1" x14ac:dyDescent="0.25">
      <c r="A92" s="70">
        <v>3</v>
      </c>
      <c r="E92" s="54" t="s">
        <v>534</v>
      </c>
      <c r="G92" s="54" t="s">
        <v>12</v>
      </c>
      <c r="H92" s="54" t="s">
        <v>127</v>
      </c>
      <c r="I92" s="54" t="s">
        <v>284</v>
      </c>
      <c r="J92" s="54" t="s">
        <v>503</v>
      </c>
      <c r="K92" s="58" t="s">
        <v>98</v>
      </c>
      <c r="L92" s="54" t="s">
        <v>394</v>
      </c>
      <c r="O92" s="60"/>
      <c r="P92" s="61"/>
      <c r="R92" s="61" t="s">
        <v>20</v>
      </c>
      <c r="S92" s="54" t="s">
        <v>20</v>
      </c>
      <c r="T92" s="54" t="s">
        <v>20</v>
      </c>
    </row>
    <row r="93" spans="1:20" s="54" customFormat="1" x14ac:dyDescent="0.25">
      <c r="A93" s="70">
        <v>4</v>
      </c>
      <c r="E93" s="54" t="s">
        <v>535</v>
      </c>
      <c r="G93" s="54" t="s">
        <v>12</v>
      </c>
      <c r="H93" s="54" t="s">
        <v>127</v>
      </c>
      <c r="I93" s="54" t="s">
        <v>284</v>
      </c>
      <c r="J93" s="54" t="s">
        <v>503</v>
      </c>
      <c r="K93" s="58" t="s">
        <v>98</v>
      </c>
      <c r="L93" s="54" t="s">
        <v>43</v>
      </c>
      <c r="O93" s="60"/>
      <c r="P93" s="61"/>
      <c r="R93" s="61" t="s">
        <v>20</v>
      </c>
      <c r="S93" s="54" t="s">
        <v>20</v>
      </c>
      <c r="T93" s="54" t="s">
        <v>20</v>
      </c>
    </row>
    <row r="94" spans="1:20" s="54" customFormat="1" x14ac:dyDescent="0.25">
      <c r="A94" s="70">
        <v>5</v>
      </c>
      <c r="E94" s="54" t="s">
        <v>31</v>
      </c>
      <c r="G94" s="54" t="s">
        <v>12</v>
      </c>
      <c r="H94" s="54" t="s">
        <v>127</v>
      </c>
      <c r="I94" s="54" t="s">
        <v>284</v>
      </c>
      <c r="J94" s="54" t="s">
        <v>503</v>
      </c>
      <c r="K94" s="58" t="s">
        <v>98</v>
      </c>
      <c r="L94" s="54" t="s">
        <v>43</v>
      </c>
      <c r="O94" s="60"/>
      <c r="P94" s="61"/>
      <c r="R94" s="61" t="s">
        <v>23</v>
      </c>
      <c r="S94" s="54" t="s">
        <v>20</v>
      </c>
      <c r="T94" s="54" t="s">
        <v>20</v>
      </c>
    </row>
    <row r="95" spans="1:20" s="54" customFormat="1" x14ac:dyDescent="0.25">
      <c r="A95" s="70">
        <v>6</v>
      </c>
      <c r="E95" s="54" t="s">
        <v>535</v>
      </c>
      <c r="G95" s="54" t="s">
        <v>12</v>
      </c>
      <c r="H95" s="54" t="s">
        <v>127</v>
      </c>
      <c r="I95" s="54" t="s">
        <v>284</v>
      </c>
      <c r="J95" s="54" t="s">
        <v>503</v>
      </c>
      <c r="K95" s="58" t="s">
        <v>98</v>
      </c>
      <c r="O95" s="60"/>
      <c r="P95" s="61"/>
      <c r="R95" s="61"/>
    </row>
    <row r="96" spans="1:20" s="54" customFormat="1" x14ac:dyDescent="0.25">
      <c r="A96" s="291" t="s">
        <v>283</v>
      </c>
      <c r="B96" s="291"/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</row>
    <row r="97" spans="1:20" s="54" customFormat="1" x14ac:dyDescent="0.25">
      <c r="A97" s="292" t="s">
        <v>601</v>
      </c>
      <c r="B97" s="292"/>
      <c r="C97" s="292"/>
      <c r="D97" s="292"/>
      <c r="E97" s="292"/>
      <c r="F97" s="292"/>
      <c r="G97" s="292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</row>
    <row r="98" spans="1:20" s="54" customFormat="1" x14ac:dyDescent="0.25">
      <c r="A98" s="60">
        <v>1</v>
      </c>
      <c r="C98" s="61"/>
      <c r="D98" s="60"/>
      <c r="E98" s="60" t="s">
        <v>79</v>
      </c>
      <c r="F98" s="60"/>
      <c r="G98" s="60" t="s">
        <v>12</v>
      </c>
      <c r="H98" s="54" t="s">
        <v>13</v>
      </c>
      <c r="I98" s="54" t="s">
        <v>284</v>
      </c>
      <c r="J98" s="54" t="s">
        <v>668</v>
      </c>
      <c r="K98" s="58" t="s">
        <v>98</v>
      </c>
      <c r="L98" s="58" t="s">
        <v>30</v>
      </c>
      <c r="M98" s="54" t="s">
        <v>669</v>
      </c>
      <c r="N98" s="54" t="s">
        <v>161</v>
      </c>
      <c r="O98" s="54" t="s">
        <v>670</v>
      </c>
      <c r="Q98" s="54" t="s">
        <v>671</v>
      </c>
      <c r="R98" s="54" t="s">
        <v>23</v>
      </c>
      <c r="S98" s="54" t="s">
        <v>20</v>
      </c>
      <c r="T98" s="54" t="s">
        <v>20</v>
      </c>
    </row>
    <row r="99" spans="1:20" s="54" customFormat="1" x14ac:dyDescent="0.25">
      <c r="A99" s="60">
        <v>2</v>
      </c>
      <c r="C99" s="61"/>
      <c r="D99" s="60"/>
      <c r="E99" s="60" t="s">
        <v>51</v>
      </c>
      <c r="F99" s="60"/>
      <c r="G99" s="60" t="s">
        <v>12</v>
      </c>
      <c r="H99" s="54" t="s">
        <v>13</v>
      </c>
      <c r="I99" s="54" t="s">
        <v>284</v>
      </c>
      <c r="J99" s="54" t="s">
        <v>668</v>
      </c>
      <c r="K99" s="58" t="s">
        <v>98</v>
      </c>
      <c r="L99" s="58" t="s">
        <v>26</v>
      </c>
      <c r="M99" s="54" t="s">
        <v>22</v>
      </c>
    </row>
    <row r="100" spans="1:20" s="54" customFormat="1" x14ac:dyDescent="0.25">
      <c r="A100" s="60">
        <v>3</v>
      </c>
      <c r="C100" s="61"/>
      <c r="D100" s="60"/>
      <c r="E100" s="60" t="s">
        <v>672</v>
      </c>
      <c r="F100" s="60"/>
      <c r="G100" s="60" t="s">
        <v>12</v>
      </c>
      <c r="H100" s="54" t="s">
        <v>13</v>
      </c>
      <c r="I100" s="54" t="s">
        <v>284</v>
      </c>
      <c r="J100" s="54" t="s">
        <v>668</v>
      </c>
      <c r="K100" s="58" t="s">
        <v>98</v>
      </c>
    </row>
    <row r="101" spans="1:20" s="54" customFormat="1" x14ac:dyDescent="0.25">
      <c r="A101" s="60">
        <v>4</v>
      </c>
      <c r="C101" s="61"/>
      <c r="D101" s="60"/>
      <c r="E101" s="60" t="s">
        <v>25</v>
      </c>
      <c r="F101" s="60"/>
      <c r="G101" s="60" t="s">
        <v>12</v>
      </c>
      <c r="H101" s="54" t="s">
        <v>13</v>
      </c>
      <c r="I101" s="54" t="s">
        <v>284</v>
      </c>
      <c r="J101" s="54" t="s">
        <v>668</v>
      </c>
      <c r="K101" s="58" t="s">
        <v>98</v>
      </c>
    </row>
    <row r="102" spans="1:20" s="54" customFormat="1" x14ac:dyDescent="0.25">
      <c r="A102" s="60">
        <v>5</v>
      </c>
      <c r="C102" s="61"/>
      <c r="D102" s="60"/>
      <c r="E102" s="60" t="s">
        <v>673</v>
      </c>
      <c r="F102" s="60"/>
      <c r="G102" s="60" t="s">
        <v>12</v>
      </c>
      <c r="H102" s="54" t="s">
        <v>13</v>
      </c>
      <c r="I102" s="54" t="s">
        <v>284</v>
      </c>
      <c r="J102" s="54" t="s">
        <v>668</v>
      </c>
      <c r="K102" s="58" t="s">
        <v>98</v>
      </c>
    </row>
    <row r="103" spans="1:20" s="54" customFormat="1" x14ac:dyDescent="0.25">
      <c r="A103" s="60">
        <v>6</v>
      </c>
      <c r="C103" s="61"/>
      <c r="D103" s="60"/>
      <c r="E103" s="60" t="s">
        <v>674</v>
      </c>
      <c r="F103" s="60"/>
      <c r="G103" s="60" t="s">
        <v>12</v>
      </c>
      <c r="H103" s="54" t="s">
        <v>13</v>
      </c>
      <c r="I103" s="54" t="s">
        <v>284</v>
      </c>
      <c r="J103" s="54" t="s">
        <v>668</v>
      </c>
      <c r="K103" s="58" t="s">
        <v>98</v>
      </c>
    </row>
    <row r="104" spans="1:20" s="54" customFormat="1" x14ac:dyDescent="0.25">
      <c r="A104" s="292" t="s">
        <v>540</v>
      </c>
      <c r="B104" s="292"/>
      <c r="C104" s="292"/>
      <c r="D104" s="292"/>
      <c r="E104" s="292"/>
      <c r="F104" s="292"/>
      <c r="G104" s="292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</row>
    <row r="105" spans="1:20" s="54" customFormat="1" x14ac:dyDescent="0.25">
      <c r="A105" s="60">
        <v>1</v>
      </c>
      <c r="C105" s="61"/>
      <c r="D105" s="60"/>
      <c r="E105" s="60" t="s">
        <v>675</v>
      </c>
      <c r="F105" s="60"/>
      <c r="G105" s="60" t="s">
        <v>12</v>
      </c>
      <c r="H105" s="54" t="s">
        <v>13</v>
      </c>
      <c r="I105" s="54" t="s">
        <v>284</v>
      </c>
      <c r="J105" s="54" t="s">
        <v>541</v>
      </c>
      <c r="K105" s="58" t="s">
        <v>98</v>
      </c>
      <c r="L105" s="54" t="s">
        <v>16</v>
      </c>
      <c r="O105" s="54" t="s">
        <v>732</v>
      </c>
    </row>
    <row r="106" spans="1:20" s="54" customFormat="1" x14ac:dyDescent="0.25">
      <c r="A106" s="60">
        <v>2</v>
      </c>
      <c r="C106" s="61"/>
      <c r="D106" s="60"/>
      <c r="E106" s="60" t="s">
        <v>676</v>
      </c>
      <c r="F106" s="60"/>
      <c r="G106" s="60" t="s">
        <v>12</v>
      </c>
      <c r="H106" s="54" t="s">
        <v>13</v>
      </c>
      <c r="I106" s="54" t="s">
        <v>284</v>
      </c>
      <c r="J106" s="54" t="s">
        <v>541</v>
      </c>
      <c r="K106" s="58" t="s">
        <v>98</v>
      </c>
    </row>
    <row r="107" spans="1:20" s="54" customFormat="1" x14ac:dyDescent="0.25">
      <c r="A107" s="60">
        <v>3</v>
      </c>
      <c r="C107" s="61"/>
      <c r="D107" s="60"/>
      <c r="E107" s="60" t="s">
        <v>25</v>
      </c>
      <c r="F107" s="60"/>
      <c r="G107" s="60" t="s">
        <v>12</v>
      </c>
      <c r="H107" s="54" t="s">
        <v>13</v>
      </c>
      <c r="I107" s="54" t="s">
        <v>284</v>
      </c>
      <c r="J107" s="54" t="s">
        <v>541</v>
      </c>
      <c r="K107" s="58" t="s">
        <v>98</v>
      </c>
    </row>
    <row r="108" spans="1:20" s="54" customFormat="1" x14ac:dyDescent="0.25">
      <c r="A108" s="60">
        <v>4</v>
      </c>
      <c r="C108" s="61"/>
      <c r="D108" s="60"/>
      <c r="E108" s="60" t="s">
        <v>25</v>
      </c>
      <c r="F108" s="60"/>
      <c r="G108" s="60" t="s">
        <v>12</v>
      </c>
      <c r="H108" s="54" t="s">
        <v>13</v>
      </c>
      <c r="I108" s="54" t="s">
        <v>284</v>
      </c>
      <c r="J108" s="54" t="s">
        <v>541</v>
      </c>
      <c r="K108" s="58" t="s">
        <v>98</v>
      </c>
      <c r="L108" s="58" t="s">
        <v>16</v>
      </c>
      <c r="N108" s="54" t="s">
        <v>131</v>
      </c>
      <c r="O108" s="54" t="s">
        <v>677</v>
      </c>
      <c r="Q108" s="54" t="s">
        <v>567</v>
      </c>
      <c r="R108" s="54" t="s">
        <v>23</v>
      </c>
      <c r="S108" s="54" t="s">
        <v>20</v>
      </c>
      <c r="T108" s="54" t="s">
        <v>20</v>
      </c>
    </row>
    <row r="109" spans="1:20" s="54" customFormat="1" x14ac:dyDescent="0.25">
      <c r="A109" s="60">
        <v>5</v>
      </c>
      <c r="C109" s="61"/>
      <c r="D109" s="60"/>
      <c r="E109" s="60" t="s">
        <v>678</v>
      </c>
      <c r="F109" s="60"/>
      <c r="G109" s="60" t="s">
        <v>12</v>
      </c>
      <c r="H109" s="54" t="s">
        <v>13</v>
      </c>
      <c r="I109" s="54" t="s">
        <v>284</v>
      </c>
      <c r="J109" s="54" t="s">
        <v>541</v>
      </c>
      <c r="K109" s="58" t="s">
        <v>98</v>
      </c>
      <c r="L109" s="58" t="s">
        <v>16</v>
      </c>
      <c r="N109" s="54" t="s">
        <v>587</v>
      </c>
      <c r="O109" s="54" t="s">
        <v>679</v>
      </c>
      <c r="Q109" s="54" t="s">
        <v>680</v>
      </c>
      <c r="R109" s="54" t="s">
        <v>23</v>
      </c>
      <c r="S109" s="54" t="s">
        <v>20</v>
      </c>
      <c r="T109" s="54" t="s">
        <v>20</v>
      </c>
    </row>
    <row r="110" spans="1:20" s="54" customFormat="1" x14ac:dyDescent="0.25">
      <c r="A110" s="60">
        <v>6</v>
      </c>
      <c r="C110" s="61"/>
      <c r="D110" s="60"/>
      <c r="E110" s="60" t="s">
        <v>25</v>
      </c>
      <c r="F110" s="60"/>
      <c r="G110" s="60" t="s">
        <v>12</v>
      </c>
      <c r="H110" s="54" t="s">
        <v>13</v>
      </c>
      <c r="I110" s="54" t="s">
        <v>284</v>
      </c>
      <c r="J110" s="54" t="s">
        <v>541</v>
      </c>
      <c r="K110" s="58" t="s">
        <v>98</v>
      </c>
      <c r="N110" s="54" t="s">
        <v>131</v>
      </c>
      <c r="O110" s="54" t="s">
        <v>58</v>
      </c>
      <c r="R110" s="54" t="s">
        <v>20</v>
      </c>
      <c r="S110" s="54" t="s">
        <v>20</v>
      </c>
      <c r="T110" s="54" t="s">
        <v>20</v>
      </c>
    </row>
    <row r="111" spans="1:20" s="54" customFormat="1" x14ac:dyDescent="0.25">
      <c r="A111" s="60">
        <v>7</v>
      </c>
      <c r="C111" s="61"/>
      <c r="D111" s="60"/>
      <c r="E111" s="60" t="s">
        <v>681</v>
      </c>
      <c r="F111" s="60"/>
      <c r="G111" s="60" t="s">
        <v>12</v>
      </c>
      <c r="H111" s="54" t="s">
        <v>13</v>
      </c>
      <c r="I111" s="54" t="s">
        <v>284</v>
      </c>
      <c r="J111" s="54" t="s">
        <v>541</v>
      </c>
      <c r="K111" s="58" t="s">
        <v>98</v>
      </c>
      <c r="L111" s="58" t="s">
        <v>16</v>
      </c>
      <c r="N111" s="54" t="s">
        <v>31</v>
      </c>
      <c r="O111" s="54" t="s">
        <v>682</v>
      </c>
      <c r="Q111" s="54" t="s">
        <v>683</v>
      </c>
      <c r="R111" s="54" t="s">
        <v>23</v>
      </c>
      <c r="S111" s="54" t="s">
        <v>20</v>
      </c>
      <c r="T111" s="54" t="s">
        <v>20</v>
      </c>
    </row>
    <row r="112" spans="1:20" s="54" customFormat="1" x14ac:dyDescent="0.25">
      <c r="A112" s="60">
        <v>8</v>
      </c>
      <c r="C112" s="61"/>
      <c r="D112" s="60"/>
      <c r="E112" s="60" t="s">
        <v>25</v>
      </c>
      <c r="F112" s="60"/>
      <c r="G112" s="60" t="s">
        <v>12</v>
      </c>
      <c r="H112" s="54" t="s">
        <v>13</v>
      </c>
      <c r="I112" s="54" t="s">
        <v>284</v>
      </c>
      <c r="J112" s="54" t="s">
        <v>541</v>
      </c>
      <c r="K112" s="58" t="s">
        <v>98</v>
      </c>
    </row>
    <row r="113" spans="1:12" s="54" customFormat="1" x14ac:dyDescent="0.25">
      <c r="A113" s="60">
        <v>9</v>
      </c>
      <c r="C113" s="61"/>
      <c r="D113" s="60"/>
      <c r="E113" s="60" t="s">
        <v>684</v>
      </c>
      <c r="F113" s="60"/>
      <c r="G113" s="60" t="s">
        <v>12</v>
      </c>
      <c r="H113" s="54" t="s">
        <v>13</v>
      </c>
      <c r="I113" s="54" t="s">
        <v>284</v>
      </c>
      <c r="J113" s="54" t="s">
        <v>541</v>
      </c>
      <c r="K113" s="58" t="s">
        <v>98</v>
      </c>
      <c r="L113" s="58" t="s">
        <v>57</v>
      </c>
    </row>
    <row r="114" spans="1:12" s="54" customFormat="1" x14ac:dyDescent="0.25">
      <c r="A114" s="60">
        <v>10</v>
      </c>
      <c r="C114" s="61"/>
      <c r="D114" s="60"/>
      <c r="E114" s="60" t="s">
        <v>25</v>
      </c>
      <c r="F114" s="60"/>
      <c r="G114" s="60" t="s">
        <v>12</v>
      </c>
      <c r="H114" s="54" t="s">
        <v>13</v>
      </c>
      <c r="I114" s="54" t="s">
        <v>284</v>
      </c>
      <c r="J114" s="54" t="s">
        <v>541</v>
      </c>
      <c r="K114" s="58" t="s">
        <v>98</v>
      </c>
    </row>
    <row r="115" spans="1:12" s="54" customFormat="1" x14ac:dyDescent="0.25">
      <c r="A115" s="60">
        <v>11</v>
      </c>
      <c r="C115" s="61"/>
      <c r="D115" s="60"/>
      <c r="E115" s="60" t="s">
        <v>675</v>
      </c>
      <c r="F115" s="60"/>
      <c r="G115" s="60" t="s">
        <v>12</v>
      </c>
      <c r="H115" s="54" t="s">
        <v>13</v>
      </c>
      <c r="I115" s="54" t="s">
        <v>284</v>
      </c>
      <c r="J115" s="54" t="s">
        <v>541</v>
      </c>
      <c r="K115" s="58" t="s">
        <v>98</v>
      </c>
    </row>
  </sheetData>
  <mergeCells count="11">
    <mergeCell ref="A89:G89"/>
    <mergeCell ref="A88:T88"/>
    <mergeCell ref="A96:T96"/>
    <mergeCell ref="A97:G97"/>
    <mergeCell ref="A104:G104"/>
    <mergeCell ref="A74:G74"/>
    <mergeCell ref="A57:G57"/>
    <mergeCell ref="A1:T1"/>
    <mergeCell ref="A2:G2"/>
    <mergeCell ref="A32:G32"/>
    <mergeCell ref="A45:G4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выпуск 2025-ОЧКА</vt:lpstr>
      <vt:lpstr>ОЧКА сведения</vt:lpstr>
      <vt:lpstr>Очно-заочная</vt:lpstr>
      <vt:lpstr>Заочная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Любарская Светлана Викторовна</dc:creator>
  <cp:lastModifiedBy>Михаил Гец</cp:lastModifiedBy>
  <dcterms:created xsi:type="dcterms:W3CDTF">2015-06-05T18:19:34Z</dcterms:created>
  <dcterms:modified xsi:type="dcterms:W3CDTF">2026-05-14T11:43:24Z</dcterms:modified>
</cp:coreProperties>
</file>